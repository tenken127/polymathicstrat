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agobertofarias/Desktop/Polymathics/Pitchbooks/Polymathics AI/"/>
    </mc:Choice>
  </mc:AlternateContent>
  <xr:revisionPtr revIDLastSave="0" documentId="8_{250F2E49-39F5-5646-84B9-89994C269BB0}" xr6:coauthVersionLast="47" xr6:coauthVersionMax="47" xr10:uidLastSave="{00000000-0000-0000-0000-000000000000}"/>
  <bookViews>
    <workbookView xWindow="46900" yWindow="3240" windowWidth="45640" windowHeight="22240" tabRatio="500" activeTab="4" xr2:uid="{00000000-000D-0000-FFFF-FFFF00000000}"/>
  </bookViews>
  <sheets>
    <sheet name="Master Call Sheet" sheetId="1" r:id="rId1"/>
    <sheet name="Healthcare" sheetId="2" r:id="rId2"/>
    <sheet name="Law Firms" sheetId="3" r:id="rId3"/>
    <sheet name="Construction &amp; Contracting" sheetId="4" r:id="rId4"/>
    <sheet name="Regenerative Medicin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2" i="1" l="1"/>
  <c r="M104" i="1"/>
  <c r="K104" i="1"/>
  <c r="I104" i="1"/>
  <c r="G104" i="1"/>
  <c r="E104" i="1"/>
  <c r="M71" i="1"/>
  <c r="K71" i="1"/>
  <c r="I71" i="1"/>
  <c r="G71" i="1"/>
  <c r="E71" i="1"/>
</calcChain>
</file>

<file path=xl/sharedStrings.xml><?xml version="1.0" encoding="utf-8"?>
<sst xmlns="http://schemas.openxmlformats.org/spreadsheetml/2006/main" count="1343" uniqueCount="319">
  <si>
    <t>POLYMATHICS AI — DFW AI Receptionist Prospect Call Sheet</t>
  </si>
  <si>
    <t>Dallas – Fort Worth Metroplex  |  Healthcare  •  Law Firms  •  Construction &amp; Contracting  |  Updated March 2026</t>
  </si>
  <si>
    <t>#</t>
  </si>
  <si>
    <t>Business Name</t>
  </si>
  <si>
    <t>Phone Number</t>
  </si>
  <si>
    <t>Business Type</t>
  </si>
  <si>
    <t>Sub-Category</t>
  </si>
  <si>
    <t>City</t>
  </si>
  <si>
    <t>Priority</t>
  </si>
  <si>
    <t>Called?</t>
  </si>
  <si>
    <t>Demo Booked?</t>
  </si>
  <si>
    <t>Notes</t>
  </si>
  <si>
    <t>Follow-Up Date</t>
  </si>
  <si>
    <t>Mighty Smiles Dental (Fort Worth)</t>
  </si>
  <si>
    <t>(817) 449-2545</t>
  </si>
  <si>
    <t>Healthcare</t>
  </si>
  <si>
    <t>Dental</t>
  </si>
  <si>
    <t>Fort Worth</t>
  </si>
  <si>
    <t>High</t>
  </si>
  <si>
    <t>Mighty Smiles Dental (Dallas)</t>
  </si>
  <si>
    <t>(972) 362-8000</t>
  </si>
  <si>
    <t>Dallas</t>
  </si>
  <si>
    <t>JPS Health Network Dental Clinics</t>
  </si>
  <si>
    <t>(817) 702-3567</t>
  </si>
  <si>
    <t>Medium</t>
  </si>
  <si>
    <t>Catholic Charities FW Dental Clinic</t>
  </si>
  <si>
    <t>(817) 289-3882</t>
  </si>
  <si>
    <t>Brown Family Dentistry</t>
  </si>
  <si>
    <t>(817) 625-1548</t>
  </si>
  <si>
    <t>Fort Dental</t>
  </si>
  <si>
    <t>Dentistry of Fort Worth</t>
  </si>
  <si>
    <t>(817) 820-0777</t>
  </si>
  <si>
    <t>Renaissance Dental (Fort Worth)</t>
  </si>
  <si>
    <t>(817) 361-1999</t>
  </si>
  <si>
    <t>Texas Medical Institute</t>
  </si>
  <si>
    <t>(817) 615-8633</t>
  </si>
  <si>
    <t>Chiropractic</t>
  </si>
  <si>
    <t>BestHealth Chiropractic Clinic</t>
  </si>
  <si>
    <t>(817) 237-5900</t>
  </si>
  <si>
    <t>Premier Injury Chiropractic</t>
  </si>
  <si>
    <t>(817) 834-7422</t>
  </si>
  <si>
    <t>Eastside Chiropractic</t>
  </si>
  <si>
    <t>(817) 457-4441</t>
  </si>
  <si>
    <t>Prime Spine Wellness</t>
  </si>
  <si>
    <t>(817) 346-0453</t>
  </si>
  <si>
    <t>River Oaks Chiropractic</t>
  </si>
  <si>
    <t>(817) 625-1165</t>
  </si>
  <si>
    <t>House of Bones Chiropractic</t>
  </si>
  <si>
    <t>(817) 576-8570</t>
  </si>
  <si>
    <t>Posture Perfect Wellness Center</t>
  </si>
  <si>
    <t>(972) 525-8715</t>
  </si>
  <si>
    <t>Luna Physical Therapy (in-home DFW)</t>
  </si>
  <si>
    <t>(866) 525-3175</t>
  </si>
  <si>
    <t>Physical Therapy</t>
  </si>
  <si>
    <t>DFW Metro</t>
  </si>
  <si>
    <t>Marsalis Avenue Urgent Care Clinic</t>
  </si>
  <si>
    <t>(214) 432-1450</t>
  </si>
  <si>
    <t>Urgent Care</t>
  </si>
  <si>
    <t>XPRESSDOC DFW Mobile Urgent Care</t>
  </si>
  <si>
    <t>(214) 813-9632</t>
  </si>
  <si>
    <t>ER of Dallas</t>
  </si>
  <si>
    <t>(214) 613-6694</t>
  </si>
  <si>
    <t>Emergency Room</t>
  </si>
  <si>
    <t>Integra Urgent Care</t>
  </si>
  <si>
    <t>(469) 701-0420</t>
  </si>
  <si>
    <t>CityDoc Urgent Care (Fort Worth)</t>
  </si>
  <si>
    <t>(817) 439-7070</t>
  </si>
  <si>
    <t>Jim Adler — The Texas Hammer</t>
  </si>
  <si>
    <t>(800) 505-1414</t>
  </si>
  <si>
    <t>Law Firm</t>
  </si>
  <si>
    <t>Personal Injury</t>
  </si>
  <si>
    <t>Mullen &amp; Mullen Law Firm</t>
  </si>
  <si>
    <t>(214) 747-5240</t>
  </si>
  <si>
    <t>Anderson Injury Lawyers (Dallas)</t>
  </si>
  <si>
    <t>(214) 327-8000</t>
  </si>
  <si>
    <t>Anderson Injury Lawyers (Fort Worth)</t>
  </si>
  <si>
    <t>(817) 294-1900</t>
  </si>
  <si>
    <t>Fielding Law (Fort Worth)</t>
  </si>
  <si>
    <t>(877) 880-4090</t>
  </si>
  <si>
    <t>Kraft &amp; Associates</t>
  </si>
  <si>
    <t>(214) 999-9999</t>
  </si>
  <si>
    <t>Law Office of Michael F. Pezzulli</t>
  </si>
  <si>
    <t>(972) 713-1300</t>
  </si>
  <si>
    <t>Tate Law Offices</t>
  </si>
  <si>
    <t>(214) 617-2222</t>
  </si>
  <si>
    <t>DFW Injury Lawyers</t>
  </si>
  <si>
    <t>(214) 306-8809</t>
  </si>
  <si>
    <t>Hosseiny &amp; Herrera Law Firm</t>
  </si>
  <si>
    <t>(214) 357-7530</t>
  </si>
  <si>
    <t>Family / Immigration / Criminal</t>
  </si>
  <si>
    <t>Mathur Law Offices, P.C.</t>
  </si>
  <si>
    <t>(888) 867-5191</t>
  </si>
  <si>
    <t>Chavez &amp; Valko LLP</t>
  </si>
  <si>
    <t>(817) 332-1100</t>
  </si>
  <si>
    <t>Immigration</t>
  </si>
  <si>
    <t>The Piri Law Firm</t>
  </si>
  <si>
    <t>(833) 600-0029</t>
  </si>
  <si>
    <t>Immigration / Criminal</t>
  </si>
  <si>
    <t>The Meza Law Firm, PLLC</t>
  </si>
  <si>
    <t>(817) 732-6392</t>
  </si>
  <si>
    <t>Law Office of Yovanna Vargas</t>
  </si>
  <si>
    <t>(214) 974-3793</t>
  </si>
  <si>
    <t>Mark E. Jacobs, P.C.</t>
  </si>
  <si>
    <t>(972) 616-4091</t>
  </si>
  <si>
    <t>Saenz-Garcia Law, PLLC</t>
  </si>
  <si>
    <t>(469) 626-8472</t>
  </si>
  <si>
    <t>The Texas Attorney</t>
  </si>
  <si>
    <t>(844) 402-2992</t>
  </si>
  <si>
    <t>Workers Comp / Estate</t>
  </si>
  <si>
    <t>MLF Legal</t>
  </si>
  <si>
    <t>(817) 405-4552</t>
  </si>
  <si>
    <t>Workers Comp</t>
  </si>
  <si>
    <t>Adam Henderson Law Firm</t>
  </si>
  <si>
    <t>(214) 664-9999</t>
  </si>
  <si>
    <t>Lon Smith Roofing</t>
  </si>
  <si>
    <t>(800) 317-4791</t>
  </si>
  <si>
    <t>Construction / Contracting</t>
  </si>
  <si>
    <t>Roofing</t>
  </si>
  <si>
    <t>T Rock Roofing &amp; Contracting</t>
  </si>
  <si>
    <t>(469) 931-9867</t>
  </si>
  <si>
    <t>Tarrant Roofing (Fort Worth)</t>
  </si>
  <si>
    <t>(817) 571-7809</t>
  </si>
  <si>
    <t>Tarrant Roofing (Dallas)</t>
  </si>
  <si>
    <t>(972) 470-9999</t>
  </si>
  <si>
    <t>Ready Roofing &amp; Solar Dallas</t>
  </si>
  <si>
    <t>(972) 736-9468</t>
  </si>
  <si>
    <t>Empire Roofing, Inc.</t>
  </si>
  <si>
    <t>(817) 572-2250</t>
  </si>
  <si>
    <t>CSI Roofers</t>
  </si>
  <si>
    <t>(817) 503-2177</t>
  </si>
  <si>
    <t>Texas Direct Roofing &amp; Construction</t>
  </si>
  <si>
    <t>(817) 775-3540</t>
  </si>
  <si>
    <t>Martin-Tomlinson Roofing (Commercial)</t>
  </si>
  <si>
    <t>(214) 388-4871</t>
  </si>
  <si>
    <t>Bert Roofing, Inc.</t>
  </si>
  <si>
    <t>(214) 321-9341</t>
  </si>
  <si>
    <t>Old Pro Roofing (Fort Worth)</t>
  </si>
  <si>
    <t>(817) 929-7663</t>
  </si>
  <si>
    <t>Baker Brothers Plumbing, AC &amp; Electrical</t>
  </si>
  <si>
    <t>(214) 892-2225</t>
  </si>
  <si>
    <t>HVAC / Plumbing / Electrical</t>
  </si>
  <si>
    <t>A#1 Air</t>
  </si>
  <si>
    <t>(972) 746-2224</t>
  </si>
  <si>
    <t>HVAC</t>
  </si>
  <si>
    <t>Berkeys Plumbing, AC &amp; Electrical (Dallas)</t>
  </si>
  <si>
    <t>(877) 746-6855</t>
  </si>
  <si>
    <t>HVAC / Plumbing</t>
  </si>
  <si>
    <t>Berkeys Plumbing, AC &amp; Electrical (FW)</t>
  </si>
  <si>
    <t>(817) 799-6090</t>
  </si>
  <si>
    <t>LEX Air Conditioning and Heating</t>
  </si>
  <si>
    <t>(972) 466-1917</t>
  </si>
  <si>
    <t>Service Experts Dallas</t>
  </si>
  <si>
    <t>(972) 619-7607</t>
  </si>
  <si>
    <t>Astar DFW</t>
  </si>
  <si>
    <t>(972) 473-7428</t>
  </si>
  <si>
    <t>Willard HVAC</t>
  </si>
  <si>
    <t>(817) 500-8777</t>
  </si>
  <si>
    <t>Marshall Construction Company</t>
  </si>
  <si>
    <t>(817) 731-6363</t>
  </si>
  <si>
    <t>General Contractor</t>
  </si>
  <si>
    <t>MCS DFW Remodeling</t>
  </si>
  <si>
    <t>(469) 868-0839</t>
  </si>
  <si>
    <t>Manta Construction</t>
  </si>
  <si>
    <t>(214) 717-0110</t>
  </si>
  <si>
    <t>DFW Improved</t>
  </si>
  <si>
    <t>(214) 494-9068</t>
  </si>
  <si>
    <t>Texas Builders Inc.</t>
  </si>
  <si>
    <t>(817) 263-2833</t>
  </si>
  <si>
    <t>TOTALS</t>
  </si>
  <si>
    <t>Total Leads</t>
  </si>
  <si>
    <t>Law Firms</t>
  </si>
  <si>
    <t>High Priority</t>
  </si>
  <si>
    <t>LEGEND:   🟢 Healthcare   🔵 Law Firm   🟡 Construction / Contracting  |  Priority: HIGH = Call First  |  Columns H–K: Fill in as you work through the list</t>
  </si>
  <si>
    <t>RegenOrthoSport</t>
  </si>
  <si>
    <t>(817) 442-9292</t>
  </si>
  <si>
    <t>Regenerative Medicine</t>
  </si>
  <si>
    <t>Stem Cell / PRP</t>
  </si>
  <si>
    <t>Innovations Stem Cell Center</t>
  </si>
  <si>
    <t>(214) 643-8665</t>
  </si>
  <si>
    <t>Stem Cell Therapy</t>
  </si>
  <si>
    <t>North Texas Musculoskeletal Medicine (NTXMSK)</t>
  </si>
  <si>
    <t>(817) 416-0970</t>
  </si>
  <si>
    <t>Stem Cell / PRP / Orthopedics</t>
  </si>
  <si>
    <t>Texas Orthobiologics (Dr. Don Buford)</t>
  </si>
  <si>
    <t>(972) 566-7474</t>
  </si>
  <si>
    <t>Regenerative Orthopedics</t>
  </si>
  <si>
    <t>Dallas Regenerative Medicine</t>
  </si>
  <si>
    <t>(469) 412-7000</t>
  </si>
  <si>
    <t>Remed Clinic</t>
  </si>
  <si>
    <t>(972) 542-0300</t>
  </si>
  <si>
    <t>Cellular / PRP Therapy</t>
  </si>
  <si>
    <t>Plano</t>
  </si>
  <si>
    <t>Integrative Pain Institute (Regen Medicine)</t>
  </si>
  <si>
    <t>(972) 668-2266</t>
  </si>
  <si>
    <t>Regen / Pain Management</t>
  </si>
  <si>
    <t>The Stem Cell Institute DFW</t>
  </si>
  <si>
    <t>(972) 312-9599</t>
  </si>
  <si>
    <t>R3 Stem Cell Dallas</t>
  </si>
  <si>
    <t>(480) 439-5462</t>
  </si>
  <si>
    <t>Steve Meyers MD — Stem Cell Ft Worth</t>
  </si>
  <si>
    <t>(817) 346-5141</t>
  </si>
  <si>
    <t>Stem Cell / Orthopedics</t>
  </si>
  <si>
    <t>Dallas Regenerative Solutions</t>
  </si>
  <si>
    <t>(214) 225-8680</t>
  </si>
  <si>
    <t>Regen / Anti-Aging</t>
  </si>
  <si>
    <t>Dallas Vitality 360</t>
  </si>
  <si>
    <t>(469) 814-5752</t>
  </si>
  <si>
    <t>Regen / Wellness</t>
  </si>
  <si>
    <t>Formula Wellness Center</t>
  </si>
  <si>
    <t>(214) 931-9443</t>
  </si>
  <si>
    <t>HRT / TRT / Anti-Aging</t>
  </si>
  <si>
    <t>EHormones MD Dallas-Fort Worth</t>
  </si>
  <si>
    <t>(214) 865-6050</t>
  </si>
  <si>
    <t>HRT / TRT</t>
  </si>
  <si>
    <t>Renew Vitality — Dallas</t>
  </si>
  <si>
    <t>(469) 343-1100</t>
  </si>
  <si>
    <t>TRT / Men's Health</t>
  </si>
  <si>
    <t>Renew Vitality — Fort Worth</t>
  </si>
  <si>
    <t>(817) 765-5922</t>
  </si>
  <si>
    <t>MyFitMed (Dallas / Frisco / Southlake)</t>
  </si>
  <si>
    <t>(469) 320-1409</t>
  </si>
  <si>
    <t>TRT / Hormone Optimization</t>
  </si>
  <si>
    <t>Low T Center Fort Worth</t>
  </si>
  <si>
    <t>(866) 965-2806</t>
  </si>
  <si>
    <t>John A. Whitfield, MD</t>
  </si>
  <si>
    <t>(817) 927-2229</t>
  </si>
  <si>
    <t>HRT / Women's Health</t>
  </si>
  <si>
    <t>ThrIVe Drip Spa (Fort Worth)</t>
  </si>
  <si>
    <t>(817) 778-0202</t>
  </si>
  <si>
    <t>IV Therapy / Infusion</t>
  </si>
  <si>
    <t>InfuZen Health</t>
  </si>
  <si>
    <t>(682) 428-7638</t>
  </si>
  <si>
    <t>Pure IV Texas — Fort Worth</t>
  </si>
  <si>
    <t>(833) 688-1299</t>
  </si>
  <si>
    <t>Vita Drip &amp; Wellness Spa</t>
  </si>
  <si>
    <t>(972) 661-5077</t>
  </si>
  <si>
    <t>ThriveMD Dallas</t>
  </si>
  <si>
    <t>(469) 441-8699</t>
  </si>
  <si>
    <t>IV Therapy / Wellness</t>
  </si>
  <si>
    <t>The New You Medical &amp; Infusion Clinic</t>
  </si>
  <si>
    <t>(817) 203-2760</t>
  </si>
  <si>
    <t>Functional / Infusion</t>
  </si>
  <si>
    <t>Integrative Wellness Fx</t>
  </si>
  <si>
    <t>(469) 333-1298</t>
  </si>
  <si>
    <t>Functional Medicine</t>
  </si>
  <si>
    <t>Johnson Medical Associates (Functional Med)</t>
  </si>
  <si>
    <t>(972) 479-0400</t>
  </si>
  <si>
    <t>Living Well Dallas</t>
  </si>
  <si>
    <t>(214) 329-2600</t>
  </si>
  <si>
    <t>Functional / Integrative</t>
  </si>
  <si>
    <t>Integrative Medicine Clinics of Dallas</t>
  </si>
  <si>
    <t>(214) 530-9600</t>
  </si>
  <si>
    <t>LEGEND:  🟢 Healthcare  🔵 Law Firm  🟡 Construction / Contracting  🟣 Regenerative Medicine  |  Priority: HIGH = Call First  |  Columns H–K: Fill as you work</t>
  </si>
  <si>
    <t>POLYMATHICS AI — Healthcare Prospects | DFW</t>
  </si>
  <si>
    <t>Dental • Chiropractic • Physical Therapy • Urgent Care — Dallas / Fort Worth</t>
  </si>
  <si>
    <t>POLYMATHICS AI — Law Firm Prospects | DFW</t>
  </si>
  <si>
    <t>Personal Injury • Family Law • Immigration • Criminal Defense • Workers Comp — Dallas / Fort Worth</t>
  </si>
  <si>
    <t>POLYMATHICS AI — Construction &amp; Contracting Prospects | DFW</t>
  </si>
  <si>
    <t>Roofing • HVAC • Plumbing • Electrical • General Contractors — Dallas / Fort Worth</t>
  </si>
  <si>
    <t>POLYMATHICS AI — Regenerative Medicine Prospects | DFW</t>
  </si>
  <si>
    <t>Stem Cell • PRP • Orthobiologics • HRT/TRT • IV Therapy • Functional &amp; Integrative Medicine — Dallas / Fort Worth</t>
  </si>
  <si>
    <t xml:space="preserve">  ▸  STEM CELL / PRP / ORTHOBIOLOGICS</t>
  </si>
  <si>
    <t xml:space="preserve">  ▸  HORMONE REPLACEMENT / TRT / ANTI-AGING</t>
  </si>
  <si>
    <t xml:space="preserve">  ▸  IV THERAPY / INFUSION WELLNESS</t>
  </si>
  <si>
    <t xml:space="preserve">  ▸  FUNCTIONAL &amp; INTEGRATIVE MEDICINE</t>
  </si>
  <si>
    <t>TOTAL REGEN LEADS</t>
  </si>
  <si>
    <t>Count:</t>
  </si>
  <si>
    <t xml:space="preserve">Website links don't work for appt requests.  Send email to offer services. </t>
  </si>
  <si>
    <t>Y</t>
  </si>
  <si>
    <t xml:space="preserve">They need website AI automation services.  Sent them an email to go through demo solutions.  </t>
  </si>
  <si>
    <t>Contact</t>
  </si>
  <si>
    <t>Kayla</t>
  </si>
  <si>
    <t>Contacts</t>
  </si>
  <si>
    <t>Office Manager</t>
  </si>
  <si>
    <t>Head of Practice</t>
  </si>
  <si>
    <t>Dr. Movva</t>
  </si>
  <si>
    <t>Rosie</t>
  </si>
  <si>
    <t>Office Manager not available</t>
  </si>
  <si>
    <t>N</t>
  </si>
  <si>
    <t>Call Center is used to field calls</t>
  </si>
  <si>
    <t>Amanda</t>
  </si>
  <si>
    <t>Dr. Minotti is out of town</t>
  </si>
  <si>
    <t>Dr. Buford is emailed ot set up a demo</t>
  </si>
  <si>
    <t>Rina</t>
  </si>
  <si>
    <t xml:space="preserve">The website needs a redesign and assistance.  New patient access is challenging.  They could use an AI receptionist for assistance.   Left message. </t>
  </si>
  <si>
    <t>Jen</t>
  </si>
  <si>
    <t>Dr. Minotti</t>
  </si>
  <si>
    <t>Office Manager is out but sending email to follow up. remed@remedclinic.com</t>
  </si>
  <si>
    <t xml:space="preserve">Website needs reconstruction.  Sent an email to: contact@medcaretx.com for follow up. </t>
  </si>
  <si>
    <t>Isabel</t>
  </si>
  <si>
    <t xml:space="preserve">Left message.  Will call back. </t>
  </si>
  <si>
    <t>Already have an online agent</t>
  </si>
  <si>
    <t>(214) 709-1904</t>
  </si>
  <si>
    <t>No interest in AI Agents</t>
  </si>
  <si>
    <t>Left a message</t>
  </si>
  <si>
    <t>(833) 746-7848</t>
  </si>
  <si>
    <t>(214) 559-4325</t>
  </si>
  <si>
    <t xml:space="preserve">Spoke to Amanda Herring and sent her email data upon request will try to book an appointment for a demo follow up but she was concerned peopole would be replaced. </t>
  </si>
  <si>
    <t>Low</t>
  </si>
  <si>
    <t>Erika</t>
  </si>
  <si>
    <t xml:space="preserve">Sent Erika an email regarding our services. </t>
  </si>
  <si>
    <t>(682) 312-3419</t>
  </si>
  <si>
    <t>Voicemail</t>
  </si>
  <si>
    <t>(817) 765-1600</t>
  </si>
  <si>
    <t>Send an email, spoke to Cindy.  Primary contact is Kayla with email office@dentistryfw.com</t>
  </si>
  <si>
    <t xml:space="preserve">Their reception phone system is dated. </t>
  </si>
  <si>
    <t xml:space="preserve">Their voice receptionist needs improvement.  Good potential client.  Opens at 10 AM Monday thru Thursday.  Sending an email to Mrs. Valarie, thenewyoumedical12@gmail.com </t>
  </si>
  <si>
    <t>Office mananger is Joanne Hedland which she can be reached at info@lonsmith.com</t>
  </si>
  <si>
    <t>Left a message with Travis about our services.</t>
  </si>
  <si>
    <t>Send email</t>
  </si>
  <si>
    <t xml:space="preserve">Their front desk goes directly to voicemail and they need a voice agent for lead generation.  </t>
  </si>
  <si>
    <t>Already have a AI service</t>
  </si>
  <si>
    <t xml:space="preserve">They are a subsidiary of Tacta America and the contact is (847) 581-3888. </t>
  </si>
  <si>
    <t>Sent a updated loom video April 6</t>
  </si>
  <si>
    <t>Sent an updated loom video April 6</t>
  </si>
  <si>
    <t xml:space="preserve">Savannah </t>
  </si>
  <si>
    <t>emails</t>
  </si>
  <si>
    <t>Already have an agent</t>
  </si>
  <si>
    <t>Followed up with a message again but no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</si>
</sst>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  <charset val="1"/>
    </font>
    <font>
      <i/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1A1A1A"/>
      <name val="Arial"/>
      <family val="2"/>
      <charset val="1"/>
    </font>
    <font>
      <b/>
      <sz val="10"/>
      <color rgb="FF166534"/>
      <name val="Arial"/>
      <family val="2"/>
      <charset val="1"/>
    </font>
    <font>
      <b/>
      <sz val="10"/>
      <color rgb="FF7C5A00"/>
      <name val="Arial"/>
      <family val="2"/>
      <charset val="1"/>
    </font>
    <font>
      <b/>
      <sz val="10"/>
      <color rgb="FF1B3A6B"/>
      <name val="Arial"/>
      <family val="2"/>
      <charset val="1"/>
    </font>
    <font>
      <b/>
      <sz val="11"/>
      <color rgb="FF1B3A6B"/>
      <name val="Arial"/>
      <family val="2"/>
      <charset val="1"/>
    </font>
    <font>
      <i/>
      <sz val="9"/>
      <color rgb="FF6B7280"/>
      <name val="Arial"/>
      <family val="2"/>
      <charset val="1"/>
    </font>
    <font>
      <sz val="10"/>
      <color rgb="FF1A1A1A"/>
      <name val="Arial"/>
      <family val="2"/>
    </font>
    <font>
      <b/>
      <sz val="10"/>
      <color rgb="FF6B21A8"/>
      <name val="Arial"/>
      <family val="2"/>
    </font>
    <font>
      <b/>
      <sz val="10"/>
      <color rgb="FF166534"/>
      <name val="Arial"/>
      <family val="2"/>
    </font>
    <font>
      <b/>
      <sz val="10"/>
      <color rgb="FF7C5A00"/>
      <name val="Arial"/>
      <family val="2"/>
    </font>
    <font>
      <b/>
      <sz val="10"/>
      <color rgb="FFFFFFFF"/>
      <name val="Arial"/>
      <family val="2"/>
    </font>
    <font>
      <b/>
      <sz val="11"/>
      <color rgb="FF1B3A6B"/>
      <name val="Arial"/>
      <family val="2"/>
    </font>
    <font>
      <i/>
      <sz val="9"/>
      <color rgb="FF6B7280"/>
      <name val="Arial"/>
      <family val="2"/>
    </font>
    <font>
      <b/>
      <sz val="14"/>
      <color rgb="FFFFFFFF"/>
      <name val="Arial"/>
      <family val="2"/>
      <charset val="1"/>
    </font>
    <font>
      <b/>
      <sz val="14"/>
      <color rgb="FF1B3A6B"/>
      <name val="Arial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sz val="10"/>
      <color rgb="FF6B21A8"/>
      <name val="Arial"/>
      <family val="2"/>
    </font>
    <font>
      <b/>
      <sz val="11"/>
      <color rgb="FF6B21A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563A8"/>
        <bgColor rgb="FF3366FF"/>
      </patternFill>
    </fill>
    <fill>
      <patternFill patternType="solid">
        <fgColor rgb="FFFFFFFF"/>
        <bgColor rgb="FFF0F4FA"/>
      </patternFill>
    </fill>
    <fill>
      <patternFill patternType="solid">
        <fgColor rgb="FFDCFCE7"/>
        <bgColor rgb="FFF0F4FA"/>
      </patternFill>
    </fill>
    <fill>
      <patternFill patternType="solid">
        <fgColor rgb="FFF0F4FA"/>
        <bgColor rgb="FFEDE9FE"/>
      </patternFill>
    </fill>
    <fill>
      <patternFill patternType="solid">
        <fgColor rgb="FFFEF9C3"/>
        <bgColor rgb="FFFFFF99"/>
      </patternFill>
    </fill>
    <fill>
      <patternFill patternType="solid">
        <fgColor rgb="FFD6E8F7"/>
        <bgColor rgb="FFEDE9FE"/>
      </patternFill>
    </fill>
    <fill>
      <patternFill patternType="solid">
        <fgColor rgb="FFEDE9FE"/>
        <bgColor rgb="FFF0F4FA"/>
      </patternFill>
    </fill>
    <fill>
      <patternFill patternType="solid">
        <fgColor rgb="FF166534"/>
        <bgColor rgb="FF008080"/>
      </patternFill>
    </fill>
    <fill>
      <patternFill patternType="solid">
        <fgColor rgb="FFD4A017"/>
        <bgColor rgb="FFA07A10"/>
      </patternFill>
    </fill>
    <fill>
      <patternFill patternType="solid">
        <fgColor rgb="FFA07A10"/>
        <bgColor rgb="FF7C5A00"/>
      </patternFill>
    </fill>
    <fill>
      <patternFill patternType="solid">
        <fgColor rgb="FF6B21A8"/>
        <bgColor rgb="FF800080"/>
      </patternFill>
    </fill>
    <fill>
      <patternFill patternType="solid">
        <fgColor rgb="FF7C3AED"/>
        <bgColor rgb="FF6B21A8"/>
      </patternFill>
    </fill>
    <fill>
      <patternFill patternType="solid">
        <fgColor rgb="FFFFC000"/>
        <bgColor rgb="FFF0F4FA"/>
      </patternFill>
    </fill>
    <fill>
      <patternFill patternType="solid">
        <fgColor theme="0" tint="-0.499984740745262"/>
        <bgColor rgb="FFF0F4FA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99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6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0" fillId="4" borderId="0" xfId="0" applyFill="1"/>
    <xf numFmtId="0" fontId="15" fillId="3" borderId="1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left" vertical="center" wrapText="1"/>
    </xf>
    <xf numFmtId="0" fontId="22" fillId="9" borderId="2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164" fontId="1" fillId="0" borderId="0" xfId="1" applyNumberFormat="1"/>
    <xf numFmtId="0" fontId="11" fillId="4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19" fillId="11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15" fillId="14" borderId="3" xfId="0" applyFont="1" applyFill="1" applyBorder="1" applyAlignment="1">
      <alignment horizontal="left" vertical="center"/>
    </xf>
    <xf numFmtId="0" fontId="15" fillId="13" borderId="0" xfId="0" applyFont="1" applyFill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20" fillId="13" borderId="0" xfId="0" applyFont="1" applyFill="1" applyAlignment="1">
      <alignment horizontal="center" vertical="center" wrapText="1"/>
    </xf>
    <xf numFmtId="0" fontId="21" fillId="14" borderId="0" xfId="0" applyFont="1" applyFill="1" applyAlignment="1">
      <alignment horizontal="center" vertical="center" wrapText="1"/>
    </xf>
    <xf numFmtId="0" fontId="15" fillId="13" borderId="0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left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left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0" fillId="17" borderId="0" xfId="0" applyFill="1"/>
    <xf numFmtId="0" fontId="14" fillId="18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A07A10"/>
      <rgbColor rgb="FF6B21A8"/>
      <rgbColor rgb="FF008080"/>
      <rgbColor rgb="FFCCCCCC"/>
      <rgbColor rgb="FF808080"/>
      <rgbColor rgb="FF9999FF"/>
      <rgbColor rgb="FF7C3AED"/>
      <rgbColor rgb="FFFEF9C3"/>
      <rgbColor rgb="FFDCFCE7"/>
      <rgbColor rgb="FF660066"/>
      <rgbColor rgb="FFFF8080"/>
      <rgbColor rgb="FF2563A8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F0F4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7"/>
      <rgbColor rgb="FFFF6600"/>
      <rgbColor rgb="FF6B7280"/>
      <rgbColor rgb="FF969696"/>
      <rgbColor rgb="FF1B3A6B"/>
      <rgbColor rgb="FF339966"/>
      <rgbColor rgb="FF003300"/>
      <rgbColor rgb="FF333300"/>
      <rgbColor rgb="FF7C5A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zoomScale="140" zoomScaleNormal="140" workbookViewId="0">
      <pane ySplit="3" topLeftCell="A86" activePane="bottomLeft" state="frozen"/>
      <selection pane="bottomLeft" activeCell="G111" sqref="G111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2" customWidth="1"/>
    <col min="5" max="5" width="24.6640625" bestFit="1" customWidth="1"/>
    <col min="6" max="6" width="22" customWidth="1"/>
    <col min="7" max="9" width="10" customWidth="1"/>
    <col min="10" max="10" width="22" customWidth="1"/>
    <col min="11" max="11" width="10" customWidth="1"/>
    <col min="12" max="12" width="22" customWidth="1"/>
    <col min="13" max="13" width="10" customWidth="1"/>
  </cols>
  <sheetData>
    <row r="1" spans="1:11" ht="36" customHeight="1" x14ac:dyDescent="0.2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19.5" customHeight="1" x14ac:dyDescent="0.2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ht="28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8" customHeight="1" x14ac:dyDescent="0.2">
      <c r="A4" s="2">
        <v>1</v>
      </c>
      <c r="B4" s="3" t="s">
        <v>13</v>
      </c>
      <c r="C4" s="2" t="s">
        <v>14</v>
      </c>
      <c r="D4" s="4" t="s">
        <v>15</v>
      </c>
      <c r="E4" s="3" t="s">
        <v>16</v>
      </c>
      <c r="F4" s="2" t="s">
        <v>17</v>
      </c>
      <c r="G4" s="4" t="s">
        <v>18</v>
      </c>
      <c r="H4" s="2"/>
      <c r="I4" s="2"/>
      <c r="J4" s="3"/>
      <c r="K4" s="2"/>
    </row>
    <row r="5" spans="1:11" ht="18" customHeight="1" x14ac:dyDescent="0.2">
      <c r="A5" s="5">
        <v>2</v>
      </c>
      <c r="B5" s="6" t="s">
        <v>19</v>
      </c>
      <c r="C5" s="5" t="s">
        <v>20</v>
      </c>
      <c r="D5" s="4" t="s">
        <v>15</v>
      </c>
      <c r="E5" s="6" t="s">
        <v>16</v>
      </c>
      <c r="F5" s="5" t="s">
        <v>21</v>
      </c>
      <c r="G5" s="4" t="s">
        <v>18</v>
      </c>
      <c r="H5" s="5"/>
      <c r="I5" s="5"/>
      <c r="J5" s="6"/>
      <c r="K5" s="5"/>
    </row>
    <row r="6" spans="1:11" ht="18" customHeight="1" x14ac:dyDescent="0.2">
      <c r="A6" s="2">
        <v>3</v>
      </c>
      <c r="B6" s="3" t="s">
        <v>22</v>
      </c>
      <c r="C6" s="2" t="s">
        <v>23</v>
      </c>
      <c r="D6" s="4" t="s">
        <v>15</v>
      </c>
      <c r="E6" s="3" t="s">
        <v>16</v>
      </c>
      <c r="F6" s="2" t="s">
        <v>17</v>
      </c>
      <c r="G6" s="7" t="s">
        <v>24</v>
      </c>
      <c r="H6" s="2"/>
      <c r="I6" s="2"/>
      <c r="J6" s="3"/>
      <c r="K6" s="2"/>
    </row>
    <row r="7" spans="1:11" ht="18" customHeight="1" x14ac:dyDescent="0.2">
      <c r="A7" s="5">
        <v>4</v>
      </c>
      <c r="B7" s="6" t="s">
        <v>25</v>
      </c>
      <c r="C7" s="5" t="s">
        <v>26</v>
      </c>
      <c r="D7" s="4" t="s">
        <v>15</v>
      </c>
      <c r="E7" s="6" t="s">
        <v>16</v>
      </c>
      <c r="F7" s="5" t="s">
        <v>17</v>
      </c>
      <c r="G7" s="7" t="s">
        <v>24</v>
      </c>
      <c r="H7" s="5"/>
      <c r="I7" s="5"/>
      <c r="J7" s="6"/>
      <c r="K7" s="5"/>
    </row>
    <row r="8" spans="1:11" ht="18" customHeight="1" x14ac:dyDescent="0.2">
      <c r="A8" s="2">
        <v>5</v>
      </c>
      <c r="B8" s="3" t="s">
        <v>27</v>
      </c>
      <c r="C8" s="2" t="s">
        <v>28</v>
      </c>
      <c r="D8" s="4" t="s">
        <v>15</v>
      </c>
      <c r="E8" s="3" t="s">
        <v>16</v>
      </c>
      <c r="F8" s="2" t="s">
        <v>17</v>
      </c>
      <c r="G8" s="4" t="s">
        <v>18</v>
      </c>
      <c r="H8" s="2"/>
      <c r="I8" s="2"/>
      <c r="J8" s="3"/>
      <c r="K8" s="2"/>
    </row>
    <row r="9" spans="1:11" ht="18" customHeight="1" x14ac:dyDescent="0.2">
      <c r="A9" s="5">
        <v>6</v>
      </c>
      <c r="B9" s="6" t="s">
        <v>29</v>
      </c>
      <c r="C9" s="5" t="s">
        <v>28</v>
      </c>
      <c r="D9" s="4" t="s">
        <v>15</v>
      </c>
      <c r="E9" s="6" t="s">
        <v>16</v>
      </c>
      <c r="F9" s="5" t="s">
        <v>17</v>
      </c>
      <c r="G9" s="4" t="s">
        <v>18</v>
      </c>
      <c r="H9" s="5"/>
      <c r="I9" s="5"/>
      <c r="J9" s="6"/>
      <c r="K9" s="5"/>
    </row>
    <row r="10" spans="1:11" ht="18" customHeight="1" x14ac:dyDescent="0.2">
      <c r="A10" s="2">
        <v>7</v>
      </c>
      <c r="B10" s="3" t="s">
        <v>30</v>
      </c>
      <c r="C10" s="2" t="s">
        <v>31</v>
      </c>
      <c r="D10" s="4" t="s">
        <v>15</v>
      </c>
      <c r="E10" s="3" t="s">
        <v>16</v>
      </c>
      <c r="F10" s="2" t="s">
        <v>17</v>
      </c>
      <c r="G10" s="4" t="s">
        <v>18</v>
      </c>
      <c r="H10" s="2"/>
      <c r="I10" s="2"/>
      <c r="J10" s="3"/>
      <c r="K10" s="2"/>
    </row>
    <row r="11" spans="1:11" ht="18" customHeight="1" x14ac:dyDescent="0.2">
      <c r="A11" s="5">
        <v>8</v>
      </c>
      <c r="B11" s="6" t="s">
        <v>32</v>
      </c>
      <c r="C11" s="5" t="s">
        <v>33</v>
      </c>
      <c r="D11" s="4" t="s">
        <v>15</v>
      </c>
      <c r="E11" s="6" t="s">
        <v>16</v>
      </c>
      <c r="F11" s="5" t="s">
        <v>17</v>
      </c>
      <c r="G11" s="7" t="s">
        <v>24</v>
      </c>
      <c r="H11" s="5"/>
      <c r="I11" s="5"/>
      <c r="J11" s="6"/>
      <c r="K11" s="5"/>
    </row>
    <row r="12" spans="1:11" ht="18" customHeight="1" x14ac:dyDescent="0.2">
      <c r="A12" s="2">
        <v>9</v>
      </c>
      <c r="B12" s="3" t="s">
        <v>34</v>
      </c>
      <c r="C12" s="2" t="s">
        <v>35</v>
      </c>
      <c r="D12" s="4" t="s">
        <v>15</v>
      </c>
      <c r="E12" s="3" t="s">
        <v>36</v>
      </c>
      <c r="F12" s="2" t="s">
        <v>17</v>
      </c>
      <c r="G12" s="4" t="s">
        <v>18</v>
      </c>
      <c r="H12" s="2"/>
      <c r="I12" s="2"/>
      <c r="J12" s="3"/>
      <c r="K12" s="2"/>
    </row>
    <row r="13" spans="1:11" ht="18" customHeight="1" x14ac:dyDescent="0.2">
      <c r="A13" s="5">
        <v>10</v>
      </c>
      <c r="B13" s="6" t="s">
        <v>37</v>
      </c>
      <c r="C13" s="5" t="s">
        <v>38</v>
      </c>
      <c r="D13" s="4" t="s">
        <v>15</v>
      </c>
      <c r="E13" s="6" t="s">
        <v>36</v>
      </c>
      <c r="F13" s="5" t="s">
        <v>17</v>
      </c>
      <c r="G13" s="4" t="s">
        <v>18</v>
      </c>
      <c r="H13" s="5"/>
      <c r="I13" s="5"/>
      <c r="J13" s="6"/>
      <c r="K13" s="5"/>
    </row>
    <row r="14" spans="1:11" ht="18" customHeight="1" x14ac:dyDescent="0.2">
      <c r="A14" s="2">
        <v>11</v>
      </c>
      <c r="B14" s="3" t="s">
        <v>39</v>
      </c>
      <c r="C14" s="2" t="s">
        <v>40</v>
      </c>
      <c r="D14" s="4" t="s">
        <v>15</v>
      </c>
      <c r="E14" s="3" t="s">
        <v>36</v>
      </c>
      <c r="F14" s="2" t="s">
        <v>17</v>
      </c>
      <c r="G14" s="4" t="s">
        <v>18</v>
      </c>
      <c r="H14" s="2"/>
      <c r="I14" s="2"/>
      <c r="J14" s="3"/>
      <c r="K14" s="2"/>
    </row>
    <row r="15" spans="1:11" ht="18" customHeight="1" x14ac:dyDescent="0.2">
      <c r="A15" s="5">
        <v>12</v>
      </c>
      <c r="B15" s="6" t="s">
        <v>41</v>
      </c>
      <c r="C15" s="5" t="s">
        <v>42</v>
      </c>
      <c r="D15" s="4" t="s">
        <v>15</v>
      </c>
      <c r="E15" s="6" t="s">
        <v>36</v>
      </c>
      <c r="F15" s="5" t="s">
        <v>17</v>
      </c>
      <c r="G15" s="4" t="s">
        <v>18</v>
      </c>
      <c r="H15" s="5"/>
      <c r="I15" s="5"/>
      <c r="J15" s="6"/>
      <c r="K15" s="5"/>
    </row>
    <row r="16" spans="1:11" ht="18" customHeight="1" x14ac:dyDescent="0.2">
      <c r="A16" s="2">
        <v>13</v>
      </c>
      <c r="B16" s="3" t="s">
        <v>43</v>
      </c>
      <c r="C16" s="2" t="s">
        <v>44</v>
      </c>
      <c r="D16" s="4" t="s">
        <v>15</v>
      </c>
      <c r="E16" s="3" t="s">
        <v>36</v>
      </c>
      <c r="F16" s="2" t="s">
        <v>17</v>
      </c>
      <c r="G16" s="4" t="s">
        <v>18</v>
      </c>
      <c r="H16" s="2"/>
      <c r="I16" s="2"/>
      <c r="J16" s="3"/>
      <c r="K16" s="2"/>
    </row>
    <row r="17" spans="1:11" ht="18" customHeight="1" x14ac:dyDescent="0.2">
      <c r="A17" s="5">
        <v>14</v>
      </c>
      <c r="B17" s="6" t="s">
        <v>45</v>
      </c>
      <c r="C17" s="5" t="s">
        <v>46</v>
      </c>
      <c r="D17" s="4" t="s">
        <v>15</v>
      </c>
      <c r="E17" s="6" t="s">
        <v>36</v>
      </c>
      <c r="F17" s="5" t="s">
        <v>17</v>
      </c>
      <c r="G17" s="7" t="s">
        <v>24</v>
      </c>
      <c r="H17" s="5"/>
      <c r="I17" s="5"/>
      <c r="J17" s="6"/>
      <c r="K17" s="5"/>
    </row>
    <row r="18" spans="1:11" ht="18" customHeight="1" x14ac:dyDescent="0.2">
      <c r="A18" s="2">
        <v>15</v>
      </c>
      <c r="B18" s="3" t="s">
        <v>47</v>
      </c>
      <c r="C18" s="2" t="s">
        <v>48</v>
      </c>
      <c r="D18" s="4" t="s">
        <v>15</v>
      </c>
      <c r="E18" s="3" t="s">
        <v>36</v>
      </c>
      <c r="F18" s="2" t="s">
        <v>17</v>
      </c>
      <c r="G18" s="4" t="s">
        <v>18</v>
      </c>
      <c r="H18" s="2"/>
      <c r="I18" s="2"/>
      <c r="J18" s="3"/>
      <c r="K18" s="2"/>
    </row>
    <row r="19" spans="1:11" ht="18" customHeight="1" x14ac:dyDescent="0.2">
      <c r="A19" s="5">
        <v>16</v>
      </c>
      <c r="B19" s="6" t="s">
        <v>49</v>
      </c>
      <c r="C19" s="5" t="s">
        <v>50</v>
      </c>
      <c r="D19" s="4" t="s">
        <v>15</v>
      </c>
      <c r="E19" s="6" t="s">
        <v>36</v>
      </c>
      <c r="F19" s="5" t="s">
        <v>21</v>
      </c>
      <c r="G19" s="4" t="s">
        <v>18</v>
      </c>
      <c r="H19" s="5"/>
      <c r="I19" s="5"/>
      <c r="J19" s="6"/>
      <c r="K19" s="5"/>
    </row>
    <row r="20" spans="1:11" ht="18" customHeight="1" x14ac:dyDescent="0.2">
      <c r="A20" s="2">
        <v>17</v>
      </c>
      <c r="B20" s="3" t="s">
        <v>51</v>
      </c>
      <c r="C20" s="2" t="s">
        <v>52</v>
      </c>
      <c r="D20" s="4" t="s">
        <v>15</v>
      </c>
      <c r="E20" s="3" t="s">
        <v>53</v>
      </c>
      <c r="F20" s="2" t="s">
        <v>54</v>
      </c>
      <c r="G20" s="7" t="s">
        <v>24</v>
      </c>
      <c r="H20" s="2"/>
      <c r="I20" s="2"/>
      <c r="J20" s="3"/>
      <c r="K20" s="2"/>
    </row>
    <row r="21" spans="1:11" ht="18" customHeight="1" x14ac:dyDescent="0.2">
      <c r="A21" s="5">
        <v>18</v>
      </c>
      <c r="B21" s="6" t="s">
        <v>55</v>
      </c>
      <c r="C21" s="5" t="s">
        <v>56</v>
      </c>
      <c r="D21" s="4" t="s">
        <v>15</v>
      </c>
      <c r="E21" s="6" t="s">
        <v>57</v>
      </c>
      <c r="F21" s="5" t="s">
        <v>21</v>
      </c>
      <c r="G21" s="4" t="s">
        <v>18</v>
      </c>
      <c r="H21" s="5"/>
      <c r="I21" s="5"/>
      <c r="J21" s="6"/>
      <c r="K21" s="5"/>
    </row>
    <row r="22" spans="1:11" ht="18" customHeight="1" x14ac:dyDescent="0.2">
      <c r="A22" s="2">
        <v>19</v>
      </c>
      <c r="B22" s="3" t="s">
        <v>58</v>
      </c>
      <c r="C22" s="2" t="s">
        <v>59</v>
      </c>
      <c r="D22" s="4" t="s">
        <v>15</v>
      </c>
      <c r="E22" s="3" t="s">
        <v>57</v>
      </c>
      <c r="F22" s="2" t="s">
        <v>54</v>
      </c>
      <c r="G22" s="7" t="s">
        <v>24</v>
      </c>
      <c r="H22" s="2"/>
      <c r="I22" s="2"/>
      <c r="J22" s="3"/>
      <c r="K22" s="2"/>
    </row>
    <row r="23" spans="1:11" ht="18" customHeight="1" x14ac:dyDescent="0.2">
      <c r="A23" s="5">
        <v>20</v>
      </c>
      <c r="B23" s="6" t="s">
        <v>60</v>
      </c>
      <c r="C23" s="5" t="s">
        <v>61</v>
      </c>
      <c r="D23" s="4" t="s">
        <v>15</v>
      </c>
      <c r="E23" s="6" t="s">
        <v>62</v>
      </c>
      <c r="F23" s="5" t="s">
        <v>21</v>
      </c>
      <c r="G23" s="7" t="s">
        <v>24</v>
      </c>
      <c r="H23" s="5"/>
      <c r="I23" s="5"/>
      <c r="J23" s="6"/>
      <c r="K23" s="5"/>
    </row>
    <row r="24" spans="1:11" ht="18" customHeight="1" x14ac:dyDescent="0.2">
      <c r="A24" s="2">
        <v>21</v>
      </c>
      <c r="B24" s="3" t="s">
        <v>63</v>
      </c>
      <c r="C24" s="2" t="s">
        <v>64</v>
      </c>
      <c r="D24" s="4" t="s">
        <v>15</v>
      </c>
      <c r="E24" s="3" t="s">
        <v>57</v>
      </c>
      <c r="F24" s="2" t="s">
        <v>54</v>
      </c>
      <c r="G24" s="4" t="s">
        <v>18</v>
      </c>
      <c r="H24" s="2"/>
      <c r="I24" s="2"/>
      <c r="J24" s="3"/>
      <c r="K24" s="2"/>
    </row>
    <row r="25" spans="1:11" ht="18" customHeight="1" x14ac:dyDescent="0.2">
      <c r="A25" s="5">
        <v>22</v>
      </c>
      <c r="B25" s="6" t="s">
        <v>65</v>
      </c>
      <c r="C25" s="5" t="s">
        <v>66</v>
      </c>
      <c r="D25" s="4" t="s">
        <v>15</v>
      </c>
      <c r="E25" s="6" t="s">
        <v>57</v>
      </c>
      <c r="F25" s="5" t="s">
        <v>17</v>
      </c>
      <c r="G25" s="4" t="s">
        <v>18</v>
      </c>
      <c r="H25" s="5"/>
      <c r="I25" s="5"/>
      <c r="J25" s="6"/>
      <c r="K25" s="5"/>
    </row>
    <row r="26" spans="1:11" ht="18" customHeight="1" x14ac:dyDescent="0.2">
      <c r="A26" s="2">
        <v>23</v>
      </c>
      <c r="B26" s="3" t="s">
        <v>67</v>
      </c>
      <c r="C26" s="2" t="s">
        <v>68</v>
      </c>
      <c r="D26" s="8" t="s">
        <v>69</v>
      </c>
      <c r="E26" s="3" t="s">
        <v>70</v>
      </c>
      <c r="F26" s="2" t="s">
        <v>21</v>
      </c>
      <c r="G26" s="4" t="s">
        <v>18</v>
      </c>
      <c r="H26" s="2"/>
      <c r="I26" s="2"/>
      <c r="J26" s="3"/>
      <c r="K26" s="2"/>
    </row>
    <row r="27" spans="1:11" ht="18" customHeight="1" x14ac:dyDescent="0.2">
      <c r="A27" s="5">
        <v>24</v>
      </c>
      <c r="B27" s="6" t="s">
        <v>71</v>
      </c>
      <c r="C27" s="5" t="s">
        <v>72</v>
      </c>
      <c r="D27" s="8" t="s">
        <v>69</v>
      </c>
      <c r="E27" s="6" t="s">
        <v>70</v>
      </c>
      <c r="F27" s="5" t="s">
        <v>21</v>
      </c>
      <c r="G27" s="4" t="s">
        <v>18</v>
      </c>
      <c r="H27" s="5"/>
      <c r="I27" s="5"/>
      <c r="J27" s="6"/>
      <c r="K27" s="5"/>
    </row>
    <row r="28" spans="1:11" ht="18" customHeight="1" x14ac:dyDescent="0.2">
      <c r="A28" s="2">
        <v>25</v>
      </c>
      <c r="B28" s="3" t="s">
        <v>73</v>
      </c>
      <c r="C28" s="2" t="s">
        <v>74</v>
      </c>
      <c r="D28" s="8" t="s">
        <v>69</v>
      </c>
      <c r="E28" s="3" t="s">
        <v>70</v>
      </c>
      <c r="F28" s="2" t="s">
        <v>21</v>
      </c>
      <c r="G28" s="4" t="s">
        <v>18</v>
      </c>
      <c r="H28" s="2"/>
      <c r="I28" s="2"/>
      <c r="J28" s="3"/>
      <c r="K28" s="2"/>
    </row>
    <row r="29" spans="1:11" ht="18" customHeight="1" x14ac:dyDescent="0.2">
      <c r="A29" s="5">
        <v>26</v>
      </c>
      <c r="B29" s="6" t="s">
        <v>75</v>
      </c>
      <c r="C29" s="5" t="s">
        <v>76</v>
      </c>
      <c r="D29" s="8" t="s">
        <v>69</v>
      </c>
      <c r="E29" s="6" t="s">
        <v>70</v>
      </c>
      <c r="F29" s="5" t="s">
        <v>17</v>
      </c>
      <c r="G29" s="4" t="s">
        <v>18</v>
      </c>
      <c r="H29" s="5"/>
      <c r="I29" s="5"/>
      <c r="J29" s="6"/>
      <c r="K29" s="5"/>
    </row>
    <row r="30" spans="1:11" ht="18" customHeight="1" x14ac:dyDescent="0.2">
      <c r="A30" s="2">
        <v>27</v>
      </c>
      <c r="B30" s="3" t="s">
        <v>77</v>
      </c>
      <c r="C30" s="2" t="s">
        <v>78</v>
      </c>
      <c r="D30" s="8" t="s">
        <v>69</v>
      </c>
      <c r="E30" s="3" t="s">
        <v>70</v>
      </c>
      <c r="F30" s="2" t="s">
        <v>17</v>
      </c>
      <c r="G30" s="4" t="s">
        <v>18</v>
      </c>
      <c r="H30" s="2"/>
      <c r="I30" s="2"/>
      <c r="J30" s="3"/>
      <c r="K30" s="2"/>
    </row>
    <row r="31" spans="1:11" ht="18" customHeight="1" x14ac:dyDescent="0.2">
      <c r="A31" s="5">
        <v>28</v>
      </c>
      <c r="B31" s="6" t="s">
        <v>79</v>
      </c>
      <c r="C31" s="5" t="s">
        <v>80</v>
      </c>
      <c r="D31" s="8" t="s">
        <v>69</v>
      </c>
      <c r="E31" s="6" t="s">
        <v>70</v>
      </c>
      <c r="F31" s="5" t="s">
        <v>21</v>
      </c>
      <c r="G31" s="4" t="s">
        <v>18</v>
      </c>
      <c r="H31" s="5"/>
      <c r="I31" s="5"/>
      <c r="J31" s="6"/>
      <c r="K31" s="5"/>
    </row>
    <row r="32" spans="1:11" ht="18" customHeight="1" x14ac:dyDescent="0.2">
      <c r="A32" s="2">
        <v>29</v>
      </c>
      <c r="B32" s="3" t="s">
        <v>81</v>
      </c>
      <c r="C32" s="2" t="s">
        <v>82</v>
      </c>
      <c r="D32" s="8" t="s">
        <v>69</v>
      </c>
      <c r="E32" s="3" t="s">
        <v>70</v>
      </c>
      <c r="F32" s="2" t="s">
        <v>21</v>
      </c>
      <c r="G32" s="7" t="s">
        <v>24</v>
      </c>
      <c r="H32" s="2"/>
      <c r="I32" s="2"/>
      <c r="J32" s="3"/>
      <c r="K32" s="2"/>
    </row>
    <row r="33" spans="1:11" ht="18" customHeight="1" x14ac:dyDescent="0.2">
      <c r="A33" s="5">
        <v>30</v>
      </c>
      <c r="B33" s="6" t="s">
        <v>83</v>
      </c>
      <c r="C33" s="5" t="s">
        <v>84</v>
      </c>
      <c r="D33" s="8" t="s">
        <v>69</v>
      </c>
      <c r="E33" s="6" t="s">
        <v>70</v>
      </c>
      <c r="F33" s="5" t="s">
        <v>21</v>
      </c>
      <c r="G33" s="4" t="s">
        <v>18</v>
      </c>
      <c r="H33" s="5"/>
      <c r="I33" s="5"/>
      <c r="J33" s="6"/>
      <c r="K33" s="5"/>
    </row>
    <row r="34" spans="1:11" ht="18" customHeight="1" x14ac:dyDescent="0.2">
      <c r="A34" s="2">
        <v>31</v>
      </c>
      <c r="B34" s="3" t="s">
        <v>85</v>
      </c>
      <c r="C34" s="2" t="s">
        <v>86</v>
      </c>
      <c r="D34" s="8" t="s">
        <v>69</v>
      </c>
      <c r="E34" s="3" t="s">
        <v>70</v>
      </c>
      <c r="F34" s="2" t="s">
        <v>54</v>
      </c>
      <c r="G34" s="4" t="s">
        <v>18</v>
      </c>
      <c r="H34" s="2"/>
      <c r="I34" s="2"/>
      <c r="J34" s="3"/>
      <c r="K34" s="2"/>
    </row>
    <row r="35" spans="1:11" ht="18" customHeight="1" x14ac:dyDescent="0.2">
      <c r="A35" s="5">
        <v>32</v>
      </c>
      <c r="B35" s="6" t="s">
        <v>87</v>
      </c>
      <c r="C35" s="5" t="s">
        <v>88</v>
      </c>
      <c r="D35" s="8" t="s">
        <v>69</v>
      </c>
      <c r="E35" s="6" t="s">
        <v>89</v>
      </c>
      <c r="F35" s="5" t="s">
        <v>21</v>
      </c>
      <c r="G35" s="4" t="s">
        <v>18</v>
      </c>
      <c r="H35" s="5"/>
      <c r="I35" s="5"/>
      <c r="J35" s="6"/>
      <c r="K35" s="5"/>
    </row>
    <row r="36" spans="1:11" ht="18" customHeight="1" x14ac:dyDescent="0.2">
      <c r="A36" s="2">
        <v>33</v>
      </c>
      <c r="B36" s="3" t="s">
        <v>90</v>
      </c>
      <c r="C36" s="2" t="s">
        <v>91</v>
      </c>
      <c r="D36" s="8" t="s">
        <v>69</v>
      </c>
      <c r="E36" s="3" t="s">
        <v>89</v>
      </c>
      <c r="F36" s="2" t="s">
        <v>54</v>
      </c>
      <c r="G36" s="4" t="s">
        <v>18</v>
      </c>
      <c r="H36" s="2"/>
      <c r="I36" s="2"/>
      <c r="J36" s="3"/>
      <c r="K36" s="2"/>
    </row>
    <row r="37" spans="1:11" ht="18" customHeight="1" x14ac:dyDescent="0.2">
      <c r="A37" s="5">
        <v>34</v>
      </c>
      <c r="B37" s="6" t="s">
        <v>92</v>
      </c>
      <c r="C37" s="5" t="s">
        <v>93</v>
      </c>
      <c r="D37" s="8" t="s">
        <v>69</v>
      </c>
      <c r="E37" s="6" t="s">
        <v>94</v>
      </c>
      <c r="F37" s="5" t="s">
        <v>17</v>
      </c>
      <c r="G37" s="4" t="s">
        <v>18</v>
      </c>
      <c r="H37" s="5"/>
      <c r="I37" s="5"/>
      <c r="J37" s="6"/>
      <c r="K37" s="5"/>
    </row>
    <row r="38" spans="1:11" ht="18" customHeight="1" x14ac:dyDescent="0.2">
      <c r="A38" s="2">
        <v>35</v>
      </c>
      <c r="B38" s="3" t="s">
        <v>95</v>
      </c>
      <c r="C38" s="2" t="s">
        <v>96</v>
      </c>
      <c r="D38" s="8" t="s">
        <v>69</v>
      </c>
      <c r="E38" s="3" t="s">
        <v>97</v>
      </c>
      <c r="F38" s="2" t="s">
        <v>21</v>
      </c>
      <c r="G38" s="4" t="s">
        <v>18</v>
      </c>
      <c r="H38" s="2"/>
      <c r="I38" s="2"/>
      <c r="J38" s="3"/>
      <c r="K38" s="2"/>
    </row>
    <row r="39" spans="1:11" ht="18" customHeight="1" x14ac:dyDescent="0.2">
      <c r="A39" s="5">
        <v>36</v>
      </c>
      <c r="B39" s="6" t="s">
        <v>98</v>
      </c>
      <c r="C39" s="5" t="s">
        <v>99</v>
      </c>
      <c r="D39" s="8" t="s">
        <v>69</v>
      </c>
      <c r="E39" s="6" t="s">
        <v>97</v>
      </c>
      <c r="F39" s="5" t="s">
        <v>17</v>
      </c>
      <c r="G39" s="4" t="s">
        <v>18</v>
      </c>
      <c r="H39" s="5"/>
      <c r="I39" s="5"/>
      <c r="J39" s="6"/>
      <c r="K39" s="5"/>
    </row>
    <row r="40" spans="1:11" ht="18" customHeight="1" x14ac:dyDescent="0.2">
      <c r="A40" s="2">
        <v>37</v>
      </c>
      <c r="B40" s="3" t="s">
        <v>100</v>
      </c>
      <c r="C40" s="2" t="s">
        <v>101</v>
      </c>
      <c r="D40" s="8" t="s">
        <v>69</v>
      </c>
      <c r="E40" s="3" t="s">
        <v>94</v>
      </c>
      <c r="F40" s="2" t="s">
        <v>21</v>
      </c>
      <c r="G40" s="7" t="s">
        <v>24</v>
      </c>
      <c r="H40" s="2"/>
      <c r="I40" s="2"/>
      <c r="J40" s="3"/>
      <c r="K40" s="2"/>
    </row>
    <row r="41" spans="1:11" ht="18" customHeight="1" x14ac:dyDescent="0.2">
      <c r="A41" s="5">
        <v>38</v>
      </c>
      <c r="B41" s="6" t="s">
        <v>102</v>
      </c>
      <c r="C41" s="5" t="s">
        <v>103</v>
      </c>
      <c r="D41" s="8" t="s">
        <v>69</v>
      </c>
      <c r="E41" s="6" t="s">
        <v>94</v>
      </c>
      <c r="F41" s="5" t="s">
        <v>54</v>
      </c>
      <c r="G41" s="7" t="s">
        <v>24</v>
      </c>
      <c r="H41" s="5"/>
      <c r="I41" s="5"/>
      <c r="J41" s="6"/>
      <c r="K41" s="5"/>
    </row>
    <row r="42" spans="1:11" ht="18" customHeight="1" x14ac:dyDescent="0.2">
      <c r="A42" s="2">
        <v>39</v>
      </c>
      <c r="B42" s="3" t="s">
        <v>104</v>
      </c>
      <c r="C42" s="2" t="s">
        <v>105</v>
      </c>
      <c r="D42" s="8" t="s">
        <v>69</v>
      </c>
      <c r="E42" s="3" t="s">
        <v>94</v>
      </c>
      <c r="F42" s="2" t="s">
        <v>54</v>
      </c>
      <c r="G42" s="7" t="s">
        <v>24</v>
      </c>
      <c r="H42" s="2"/>
      <c r="I42" s="2"/>
      <c r="J42" s="3"/>
      <c r="K42" s="2"/>
    </row>
    <row r="43" spans="1:11" ht="18" customHeight="1" x14ac:dyDescent="0.2">
      <c r="A43" s="5">
        <v>40</v>
      </c>
      <c r="B43" s="6" t="s">
        <v>106</v>
      </c>
      <c r="C43" s="5" t="s">
        <v>107</v>
      </c>
      <c r="D43" s="8" t="s">
        <v>69</v>
      </c>
      <c r="E43" s="6" t="s">
        <v>108</v>
      </c>
      <c r="F43" s="5" t="s">
        <v>54</v>
      </c>
      <c r="G43" s="4" t="s">
        <v>18</v>
      </c>
      <c r="H43" s="5"/>
      <c r="I43" s="5"/>
      <c r="J43" s="6"/>
      <c r="K43" s="5"/>
    </row>
    <row r="44" spans="1:11" ht="18" customHeight="1" x14ac:dyDescent="0.2">
      <c r="A44" s="2">
        <v>41</v>
      </c>
      <c r="B44" s="3" t="s">
        <v>109</v>
      </c>
      <c r="C44" s="2" t="s">
        <v>110</v>
      </c>
      <c r="D44" s="8" t="s">
        <v>69</v>
      </c>
      <c r="E44" s="3" t="s">
        <v>111</v>
      </c>
      <c r="F44" s="2" t="s">
        <v>54</v>
      </c>
      <c r="G44" s="7" t="s">
        <v>24</v>
      </c>
      <c r="H44" s="2"/>
      <c r="I44" s="2"/>
      <c r="J44" s="3"/>
      <c r="K44" s="2"/>
    </row>
    <row r="45" spans="1:11" ht="18" customHeight="1" x14ac:dyDescent="0.2">
      <c r="A45" s="5">
        <v>42</v>
      </c>
      <c r="B45" s="6" t="s">
        <v>112</v>
      </c>
      <c r="C45" s="5" t="s">
        <v>113</v>
      </c>
      <c r="D45" s="8" t="s">
        <v>69</v>
      </c>
      <c r="E45" s="6" t="s">
        <v>111</v>
      </c>
      <c r="F45" s="5" t="s">
        <v>21</v>
      </c>
      <c r="G45" s="7" t="s">
        <v>24</v>
      </c>
      <c r="H45" s="5"/>
      <c r="I45" s="5"/>
      <c r="J45" s="6"/>
      <c r="K45" s="5"/>
    </row>
    <row r="46" spans="1:11" ht="18" customHeight="1" x14ac:dyDescent="0.2">
      <c r="A46" s="2">
        <v>43</v>
      </c>
      <c r="B46" s="3" t="s">
        <v>114</v>
      </c>
      <c r="C46" s="2" t="s">
        <v>115</v>
      </c>
      <c r="D46" s="7" t="s">
        <v>116</v>
      </c>
      <c r="E46" s="3" t="s">
        <v>117</v>
      </c>
      <c r="F46" s="2" t="s">
        <v>54</v>
      </c>
      <c r="G46" s="4" t="s">
        <v>18</v>
      </c>
      <c r="H46" s="2"/>
      <c r="I46" s="2"/>
      <c r="J46" s="3"/>
      <c r="K46" s="2"/>
    </row>
    <row r="47" spans="1:11" ht="18" customHeight="1" x14ac:dyDescent="0.2">
      <c r="A47" s="5">
        <v>44</v>
      </c>
      <c r="B47" s="6" t="s">
        <v>118</v>
      </c>
      <c r="C47" s="5" t="s">
        <v>119</v>
      </c>
      <c r="D47" s="7" t="s">
        <v>116</v>
      </c>
      <c r="E47" s="6" t="s">
        <v>117</v>
      </c>
      <c r="F47" s="5" t="s">
        <v>21</v>
      </c>
      <c r="G47" s="4" t="s">
        <v>18</v>
      </c>
      <c r="H47" s="5"/>
      <c r="I47" s="5"/>
      <c r="J47" s="6"/>
      <c r="K47" s="5"/>
    </row>
    <row r="48" spans="1:11" ht="18" customHeight="1" x14ac:dyDescent="0.2">
      <c r="A48" s="2">
        <v>45</v>
      </c>
      <c r="B48" s="3" t="s">
        <v>120</v>
      </c>
      <c r="C48" s="2" t="s">
        <v>121</v>
      </c>
      <c r="D48" s="7" t="s">
        <v>116</v>
      </c>
      <c r="E48" s="3" t="s">
        <v>117</v>
      </c>
      <c r="F48" s="2" t="s">
        <v>17</v>
      </c>
      <c r="G48" s="4" t="s">
        <v>18</v>
      </c>
      <c r="H48" s="2"/>
      <c r="I48" s="2"/>
      <c r="J48" s="3"/>
      <c r="K48" s="2"/>
    </row>
    <row r="49" spans="1:11" ht="18" customHeight="1" x14ac:dyDescent="0.2">
      <c r="A49" s="5">
        <v>46</v>
      </c>
      <c r="B49" s="6" t="s">
        <v>122</v>
      </c>
      <c r="C49" s="5" t="s">
        <v>123</v>
      </c>
      <c r="D49" s="7" t="s">
        <v>116</v>
      </c>
      <c r="E49" s="6" t="s">
        <v>117</v>
      </c>
      <c r="F49" s="5" t="s">
        <v>21</v>
      </c>
      <c r="G49" s="4" t="s">
        <v>18</v>
      </c>
      <c r="H49" s="5"/>
      <c r="I49" s="5"/>
      <c r="J49" s="6"/>
      <c r="K49" s="5"/>
    </row>
    <row r="50" spans="1:11" ht="18" customHeight="1" x14ac:dyDescent="0.2">
      <c r="A50" s="2">
        <v>47</v>
      </c>
      <c r="B50" s="3" t="s">
        <v>124</v>
      </c>
      <c r="C50" s="2" t="s">
        <v>125</v>
      </c>
      <c r="D50" s="7" t="s">
        <v>116</v>
      </c>
      <c r="E50" s="3" t="s">
        <v>117</v>
      </c>
      <c r="F50" s="2" t="s">
        <v>21</v>
      </c>
      <c r="G50" s="4" t="s">
        <v>18</v>
      </c>
      <c r="H50" s="2"/>
      <c r="I50" s="2"/>
      <c r="J50" s="3"/>
      <c r="K50" s="2"/>
    </row>
    <row r="51" spans="1:11" ht="18" customHeight="1" x14ac:dyDescent="0.2">
      <c r="A51" s="5">
        <v>48</v>
      </c>
      <c r="B51" s="6" t="s">
        <v>126</v>
      </c>
      <c r="C51" s="5" t="s">
        <v>127</v>
      </c>
      <c r="D51" s="7" t="s">
        <v>116</v>
      </c>
      <c r="E51" s="6" t="s">
        <v>117</v>
      </c>
      <c r="F51" s="5" t="s">
        <v>17</v>
      </c>
      <c r="G51" s="4" t="s">
        <v>18</v>
      </c>
      <c r="H51" s="5"/>
      <c r="I51" s="5"/>
      <c r="J51" s="6"/>
      <c r="K51" s="5"/>
    </row>
    <row r="52" spans="1:11" ht="18" customHeight="1" x14ac:dyDescent="0.2">
      <c r="A52" s="2">
        <v>49</v>
      </c>
      <c r="B52" s="3" t="s">
        <v>128</v>
      </c>
      <c r="C52" s="2" t="s">
        <v>129</v>
      </c>
      <c r="D52" s="7" t="s">
        <v>116</v>
      </c>
      <c r="E52" s="3" t="s">
        <v>117</v>
      </c>
      <c r="F52" s="2" t="s">
        <v>17</v>
      </c>
      <c r="G52" s="4" t="s">
        <v>18</v>
      </c>
      <c r="H52" s="2"/>
      <c r="I52" s="2"/>
      <c r="J52" s="3"/>
      <c r="K52" s="2"/>
    </row>
    <row r="53" spans="1:11" ht="18" customHeight="1" x14ac:dyDescent="0.2">
      <c r="A53" s="5">
        <v>50</v>
      </c>
      <c r="B53" s="6" t="s">
        <v>130</v>
      </c>
      <c r="C53" s="5" t="s">
        <v>131</v>
      </c>
      <c r="D53" s="7" t="s">
        <v>116</v>
      </c>
      <c r="E53" s="6" t="s">
        <v>117</v>
      </c>
      <c r="F53" s="5" t="s">
        <v>17</v>
      </c>
      <c r="G53" s="4" t="s">
        <v>18</v>
      </c>
      <c r="H53" s="5"/>
      <c r="I53" s="5"/>
      <c r="J53" s="6"/>
      <c r="K53" s="5"/>
    </row>
    <row r="54" spans="1:11" ht="18" customHeight="1" x14ac:dyDescent="0.2">
      <c r="A54" s="2">
        <v>51</v>
      </c>
      <c r="B54" s="3" t="s">
        <v>132</v>
      </c>
      <c r="C54" s="2" t="s">
        <v>133</v>
      </c>
      <c r="D54" s="7" t="s">
        <v>116</v>
      </c>
      <c r="E54" s="3" t="s">
        <v>117</v>
      </c>
      <c r="F54" s="2" t="s">
        <v>21</v>
      </c>
      <c r="G54" s="7" t="s">
        <v>24</v>
      </c>
      <c r="H54" s="2"/>
      <c r="I54" s="2"/>
      <c r="J54" s="3"/>
      <c r="K54" s="2"/>
    </row>
    <row r="55" spans="1:11" ht="18" customHeight="1" x14ac:dyDescent="0.2">
      <c r="A55" s="5">
        <v>52</v>
      </c>
      <c r="B55" s="6" t="s">
        <v>134</v>
      </c>
      <c r="C55" s="5" t="s">
        <v>135</v>
      </c>
      <c r="D55" s="7" t="s">
        <v>116</v>
      </c>
      <c r="E55" s="6" t="s">
        <v>117</v>
      </c>
      <c r="F55" s="5" t="s">
        <v>21</v>
      </c>
      <c r="G55" s="4" t="s">
        <v>18</v>
      </c>
      <c r="H55" s="5"/>
      <c r="I55" s="5"/>
      <c r="J55" s="6"/>
      <c r="K55" s="5"/>
    </row>
    <row r="56" spans="1:11" ht="18" customHeight="1" x14ac:dyDescent="0.2">
      <c r="A56" s="2">
        <v>53</v>
      </c>
      <c r="B56" s="3" t="s">
        <v>136</v>
      </c>
      <c r="C56" s="2" t="s">
        <v>137</v>
      </c>
      <c r="D56" s="7" t="s">
        <v>116</v>
      </c>
      <c r="E56" s="3" t="s">
        <v>117</v>
      </c>
      <c r="F56" s="2" t="s">
        <v>17</v>
      </c>
      <c r="G56" s="4" t="s">
        <v>18</v>
      </c>
      <c r="H56" s="2"/>
      <c r="I56" s="2"/>
      <c r="J56" s="3"/>
      <c r="K56" s="2"/>
    </row>
    <row r="57" spans="1:11" ht="18" customHeight="1" x14ac:dyDescent="0.2">
      <c r="A57" s="5">
        <v>54</v>
      </c>
      <c r="B57" s="6" t="s">
        <v>138</v>
      </c>
      <c r="C57" s="5" t="s">
        <v>139</v>
      </c>
      <c r="D57" s="7" t="s">
        <v>116</v>
      </c>
      <c r="E57" s="6" t="s">
        <v>140</v>
      </c>
      <c r="F57" s="5" t="s">
        <v>21</v>
      </c>
      <c r="G57" s="4" t="s">
        <v>18</v>
      </c>
      <c r="H57" s="5"/>
      <c r="I57" s="5"/>
      <c r="J57" s="6"/>
      <c r="K57" s="5"/>
    </row>
    <row r="58" spans="1:11" ht="18" customHeight="1" x14ac:dyDescent="0.2">
      <c r="A58" s="2">
        <v>55</v>
      </c>
      <c r="B58" s="3" t="s">
        <v>141</v>
      </c>
      <c r="C58" s="2" t="s">
        <v>142</v>
      </c>
      <c r="D58" s="7" t="s">
        <v>116</v>
      </c>
      <c r="E58" s="3" t="s">
        <v>143</v>
      </c>
      <c r="F58" s="2" t="s">
        <v>54</v>
      </c>
      <c r="G58" s="4" t="s">
        <v>18</v>
      </c>
      <c r="H58" s="2"/>
      <c r="I58" s="2"/>
      <c r="J58" s="3"/>
      <c r="K58" s="2"/>
    </row>
    <row r="59" spans="1:11" ht="18" customHeight="1" x14ac:dyDescent="0.2">
      <c r="A59" s="5">
        <v>56</v>
      </c>
      <c r="B59" s="6" t="s">
        <v>144</v>
      </c>
      <c r="C59" s="5" t="s">
        <v>145</v>
      </c>
      <c r="D59" s="7" t="s">
        <v>116</v>
      </c>
      <c r="E59" s="6" t="s">
        <v>146</v>
      </c>
      <c r="F59" s="5" t="s">
        <v>21</v>
      </c>
      <c r="G59" s="4" t="s">
        <v>18</v>
      </c>
      <c r="H59" s="5"/>
      <c r="I59" s="5"/>
      <c r="J59" s="6"/>
      <c r="K59" s="5"/>
    </row>
    <row r="60" spans="1:11" ht="18" customHeight="1" x14ac:dyDescent="0.2">
      <c r="A60" s="2">
        <v>57</v>
      </c>
      <c r="B60" s="3" t="s">
        <v>147</v>
      </c>
      <c r="C60" s="2" t="s">
        <v>148</v>
      </c>
      <c r="D60" s="7" t="s">
        <v>116</v>
      </c>
      <c r="E60" s="3" t="s">
        <v>146</v>
      </c>
      <c r="F60" s="2" t="s">
        <v>17</v>
      </c>
      <c r="G60" s="4" t="s">
        <v>18</v>
      </c>
      <c r="H60" s="2"/>
      <c r="I60" s="2"/>
      <c r="J60" s="3"/>
      <c r="K60" s="2"/>
    </row>
    <row r="61" spans="1:11" ht="18" customHeight="1" x14ac:dyDescent="0.2">
      <c r="A61" s="5">
        <v>58</v>
      </c>
      <c r="B61" s="6" t="s">
        <v>149</v>
      </c>
      <c r="C61" s="5" t="s">
        <v>150</v>
      </c>
      <c r="D61" s="7" t="s">
        <v>116</v>
      </c>
      <c r="E61" s="6" t="s">
        <v>143</v>
      </c>
      <c r="F61" s="5" t="s">
        <v>54</v>
      </c>
      <c r="G61" s="4" t="s">
        <v>18</v>
      </c>
      <c r="H61" s="5"/>
      <c r="I61" s="5"/>
      <c r="J61" s="6"/>
      <c r="K61" s="5"/>
    </row>
    <row r="62" spans="1:11" ht="18" customHeight="1" x14ac:dyDescent="0.2">
      <c r="A62" s="2">
        <v>59</v>
      </c>
      <c r="B62" s="3" t="s">
        <v>151</v>
      </c>
      <c r="C62" s="2" t="s">
        <v>152</v>
      </c>
      <c r="D62" s="7" t="s">
        <v>116</v>
      </c>
      <c r="E62" s="3" t="s">
        <v>143</v>
      </c>
      <c r="F62" s="2" t="s">
        <v>21</v>
      </c>
      <c r="G62" s="7" t="s">
        <v>24</v>
      </c>
      <c r="H62" s="2"/>
      <c r="I62" s="2"/>
      <c r="J62" s="3"/>
      <c r="K62" s="2"/>
    </row>
    <row r="63" spans="1:11" ht="18" customHeight="1" x14ac:dyDescent="0.2">
      <c r="A63" s="5">
        <v>60</v>
      </c>
      <c r="B63" s="6" t="s">
        <v>153</v>
      </c>
      <c r="C63" s="5" t="s">
        <v>154</v>
      </c>
      <c r="D63" s="7" t="s">
        <v>116</v>
      </c>
      <c r="E63" s="6" t="s">
        <v>146</v>
      </c>
      <c r="F63" s="5" t="s">
        <v>54</v>
      </c>
      <c r="G63" s="4" t="s">
        <v>18</v>
      </c>
      <c r="H63" s="5"/>
      <c r="I63" s="5"/>
      <c r="J63" s="6"/>
      <c r="K63" s="5"/>
    </row>
    <row r="64" spans="1:11" ht="18" customHeight="1" x14ac:dyDescent="0.2">
      <c r="A64" s="2">
        <v>61</v>
      </c>
      <c r="B64" s="3" t="s">
        <v>155</v>
      </c>
      <c r="C64" s="2" t="s">
        <v>156</v>
      </c>
      <c r="D64" s="7" t="s">
        <v>116</v>
      </c>
      <c r="E64" s="3" t="s">
        <v>143</v>
      </c>
      <c r="F64" s="2" t="s">
        <v>54</v>
      </c>
      <c r="G64" s="7" t="s">
        <v>24</v>
      </c>
      <c r="H64" s="2"/>
      <c r="I64" s="2"/>
      <c r="J64" s="3"/>
      <c r="K64" s="2"/>
    </row>
    <row r="65" spans="1:13" ht="18" customHeight="1" x14ac:dyDescent="0.2">
      <c r="A65" s="5">
        <v>62</v>
      </c>
      <c r="B65" s="6" t="s">
        <v>157</v>
      </c>
      <c r="C65" s="5" t="s">
        <v>158</v>
      </c>
      <c r="D65" s="7" t="s">
        <v>116</v>
      </c>
      <c r="E65" s="6" t="s">
        <v>159</v>
      </c>
      <c r="F65" s="5" t="s">
        <v>17</v>
      </c>
      <c r="G65" s="4" t="s">
        <v>18</v>
      </c>
      <c r="H65" s="5"/>
      <c r="I65" s="5"/>
      <c r="J65" s="6"/>
      <c r="K65" s="5"/>
    </row>
    <row r="66" spans="1:13" ht="18" customHeight="1" x14ac:dyDescent="0.2">
      <c r="A66" s="2">
        <v>63</v>
      </c>
      <c r="B66" s="3" t="s">
        <v>160</v>
      </c>
      <c r="C66" s="2" t="s">
        <v>161</v>
      </c>
      <c r="D66" s="7" t="s">
        <v>116</v>
      </c>
      <c r="E66" s="3" t="s">
        <v>159</v>
      </c>
      <c r="F66" s="2" t="s">
        <v>54</v>
      </c>
      <c r="G66" s="4" t="s">
        <v>18</v>
      </c>
      <c r="H66" s="2"/>
      <c r="I66" s="2"/>
      <c r="J66" s="3"/>
      <c r="K66" s="2"/>
    </row>
    <row r="67" spans="1:13" ht="18" customHeight="1" x14ac:dyDescent="0.2">
      <c r="A67" s="5">
        <v>64</v>
      </c>
      <c r="B67" s="6" t="s">
        <v>162</v>
      </c>
      <c r="C67" s="5" t="s">
        <v>163</v>
      </c>
      <c r="D67" s="7" t="s">
        <v>116</v>
      </c>
      <c r="E67" s="6" t="s">
        <v>159</v>
      </c>
      <c r="F67" s="5" t="s">
        <v>54</v>
      </c>
      <c r="G67" s="4" t="s">
        <v>18</v>
      </c>
      <c r="H67" s="5"/>
      <c r="I67" s="5"/>
      <c r="J67" s="6"/>
      <c r="K67" s="5"/>
    </row>
    <row r="68" spans="1:13" ht="18" customHeight="1" x14ac:dyDescent="0.2">
      <c r="A68" s="2">
        <v>65</v>
      </c>
      <c r="B68" s="3" t="s">
        <v>164</v>
      </c>
      <c r="C68" s="2" t="s">
        <v>165</v>
      </c>
      <c r="D68" s="7" t="s">
        <v>116</v>
      </c>
      <c r="E68" s="3" t="s">
        <v>159</v>
      </c>
      <c r="F68" s="2" t="s">
        <v>54</v>
      </c>
      <c r="G68" s="7" t="s">
        <v>24</v>
      </c>
      <c r="H68" s="2"/>
      <c r="I68" s="2"/>
      <c r="J68" s="3"/>
      <c r="K68" s="2"/>
    </row>
    <row r="69" spans="1:13" ht="18" customHeight="1" x14ac:dyDescent="0.2">
      <c r="A69" s="5">
        <v>66</v>
      </c>
      <c r="B69" s="6" t="s">
        <v>166</v>
      </c>
      <c r="C69" s="5" t="s">
        <v>167</v>
      </c>
      <c r="D69" s="7" t="s">
        <v>116</v>
      </c>
      <c r="E69" s="6" t="s">
        <v>159</v>
      </c>
      <c r="F69" s="5" t="s">
        <v>17</v>
      </c>
      <c r="G69" s="4" t="s">
        <v>18</v>
      </c>
      <c r="H69" s="5"/>
      <c r="I69" s="5"/>
      <c r="J69" s="6"/>
      <c r="K69" s="5"/>
    </row>
    <row r="70" spans="1:13" x14ac:dyDescent="0.2"/>
    <row r="71" spans="1:13" ht="21.75" customHeight="1" x14ac:dyDescent="0.2">
      <c r="A71" s="45" t="s">
        <v>168</v>
      </c>
      <c r="B71" s="45"/>
      <c r="C71" s="45"/>
      <c r="D71" s="9" t="s">
        <v>169</v>
      </c>
      <c r="E71" s="10">
        <f>COUNTA(B4:B69)</f>
        <v>66</v>
      </c>
      <c r="F71" s="9" t="s">
        <v>15</v>
      </c>
      <c r="G71" s="10">
        <f>COUNTIF(D4:D69,"Healthcare")</f>
        <v>22</v>
      </c>
      <c r="H71" s="9" t="s">
        <v>170</v>
      </c>
      <c r="I71" s="10">
        <f>COUNTIF(D4:D69,"Law Firm")</f>
        <v>20</v>
      </c>
      <c r="J71" s="9" t="s">
        <v>116</v>
      </c>
      <c r="K71" s="10">
        <f>COUNTIF(D4:D69,"Construction / Contracting")</f>
        <v>24</v>
      </c>
      <c r="L71" s="9" t="s">
        <v>171</v>
      </c>
      <c r="M71" s="10">
        <f>COUNTIF(G4:G69,"High")</f>
        <v>49</v>
      </c>
    </row>
    <row r="72" spans="1:13" x14ac:dyDescent="0.2"/>
    <row r="73" spans="1:13" ht="15" customHeight="1" x14ac:dyDescent="0.2">
      <c r="A73" s="46" t="s">
        <v>172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3" ht="18" customHeight="1" x14ac:dyDescent="0.2">
      <c r="A74" s="11">
        <v>67</v>
      </c>
      <c r="B74" s="12" t="s">
        <v>173</v>
      </c>
      <c r="C74" s="11" t="s">
        <v>174</v>
      </c>
      <c r="D74" s="13" t="s">
        <v>175</v>
      </c>
      <c r="E74" s="12" t="s">
        <v>176</v>
      </c>
      <c r="F74" s="11" t="s">
        <v>21</v>
      </c>
      <c r="G74" s="14" t="s">
        <v>18</v>
      </c>
      <c r="H74" s="11"/>
      <c r="I74" s="11"/>
      <c r="J74" s="12"/>
      <c r="K74" s="11"/>
    </row>
    <row r="75" spans="1:13" ht="18" customHeight="1" x14ac:dyDescent="0.2">
      <c r="A75" s="15">
        <v>68</v>
      </c>
      <c r="B75" s="16" t="s">
        <v>177</v>
      </c>
      <c r="C75" s="15" t="s">
        <v>178</v>
      </c>
      <c r="D75" s="13" t="s">
        <v>175</v>
      </c>
      <c r="E75" s="16" t="s">
        <v>179</v>
      </c>
      <c r="F75" s="15" t="s">
        <v>21</v>
      </c>
      <c r="G75" s="14" t="s">
        <v>18</v>
      </c>
      <c r="H75" s="15"/>
      <c r="I75" s="15"/>
      <c r="J75" s="16"/>
      <c r="K75" s="15"/>
    </row>
    <row r="76" spans="1:13" ht="18" customHeight="1" x14ac:dyDescent="0.2">
      <c r="A76" s="11">
        <v>69</v>
      </c>
      <c r="B76" s="12" t="s">
        <v>180</v>
      </c>
      <c r="C76" s="11" t="s">
        <v>181</v>
      </c>
      <c r="D76" s="13" t="s">
        <v>175</v>
      </c>
      <c r="E76" s="12" t="s">
        <v>182</v>
      </c>
      <c r="F76" s="11" t="s">
        <v>54</v>
      </c>
      <c r="G76" s="14" t="s">
        <v>18</v>
      </c>
      <c r="H76" s="11"/>
      <c r="I76" s="11"/>
      <c r="J76" s="12"/>
      <c r="K76" s="11"/>
    </row>
    <row r="77" spans="1:13" ht="18" customHeight="1" x14ac:dyDescent="0.2">
      <c r="A77" s="15">
        <v>70</v>
      </c>
      <c r="B77" s="16" t="s">
        <v>183</v>
      </c>
      <c r="C77" s="15" t="s">
        <v>184</v>
      </c>
      <c r="D77" s="13" t="s">
        <v>175</v>
      </c>
      <c r="E77" s="16" t="s">
        <v>185</v>
      </c>
      <c r="F77" s="15" t="s">
        <v>21</v>
      </c>
      <c r="G77" s="14" t="s">
        <v>18</v>
      </c>
      <c r="H77" s="15"/>
      <c r="I77" s="15"/>
      <c r="J77" s="16"/>
      <c r="K77" s="15"/>
    </row>
    <row r="78" spans="1:13" ht="18" customHeight="1" x14ac:dyDescent="0.2">
      <c r="A78" s="11">
        <v>71</v>
      </c>
      <c r="B78" s="12" t="s">
        <v>186</v>
      </c>
      <c r="C78" s="11" t="s">
        <v>187</v>
      </c>
      <c r="D78" s="13" t="s">
        <v>175</v>
      </c>
      <c r="E78" s="12" t="s">
        <v>179</v>
      </c>
      <c r="F78" s="11" t="s">
        <v>54</v>
      </c>
      <c r="G78" s="14" t="s">
        <v>18</v>
      </c>
      <c r="H78" s="11"/>
      <c r="I78" s="11"/>
      <c r="J78" s="12"/>
      <c r="K78" s="11"/>
    </row>
    <row r="79" spans="1:13" ht="18" customHeight="1" x14ac:dyDescent="0.2">
      <c r="A79" s="15">
        <v>72</v>
      </c>
      <c r="B79" s="16" t="s">
        <v>188</v>
      </c>
      <c r="C79" s="15" t="s">
        <v>189</v>
      </c>
      <c r="D79" s="13" t="s">
        <v>175</v>
      </c>
      <c r="E79" s="16" t="s">
        <v>190</v>
      </c>
      <c r="F79" s="15" t="s">
        <v>191</v>
      </c>
      <c r="G79" s="14" t="s">
        <v>18</v>
      </c>
      <c r="H79" s="15"/>
      <c r="I79" s="15"/>
      <c r="J79" s="16"/>
      <c r="K79" s="15"/>
    </row>
    <row r="80" spans="1:13" ht="18" customHeight="1" x14ac:dyDescent="0.2">
      <c r="A80" s="11">
        <v>73</v>
      </c>
      <c r="B80" s="12" t="s">
        <v>192</v>
      </c>
      <c r="C80" s="11" t="s">
        <v>193</v>
      </c>
      <c r="D80" s="13" t="s">
        <v>175</v>
      </c>
      <c r="E80" s="12" t="s">
        <v>194</v>
      </c>
      <c r="F80" s="11" t="s">
        <v>21</v>
      </c>
      <c r="G80" s="14" t="s">
        <v>18</v>
      </c>
      <c r="H80" s="11"/>
      <c r="I80" s="11"/>
      <c r="J80" s="12"/>
      <c r="K80" s="11"/>
    </row>
    <row r="81" spans="1:11" ht="18" customHeight="1" x14ac:dyDescent="0.2">
      <c r="A81" s="15">
        <v>74</v>
      </c>
      <c r="B81" s="16" t="s">
        <v>195</v>
      </c>
      <c r="C81" s="15" t="s">
        <v>196</v>
      </c>
      <c r="D81" s="13" t="s">
        <v>175</v>
      </c>
      <c r="E81" s="16" t="s">
        <v>179</v>
      </c>
      <c r="F81" s="15" t="s">
        <v>191</v>
      </c>
      <c r="G81" s="14" t="s">
        <v>18</v>
      </c>
      <c r="H81" s="15"/>
      <c r="I81" s="15"/>
      <c r="J81" s="16"/>
      <c r="K81" s="15"/>
    </row>
    <row r="82" spans="1:11" ht="18" customHeight="1" x14ac:dyDescent="0.2">
      <c r="A82" s="11">
        <v>75</v>
      </c>
      <c r="B82" s="12" t="s">
        <v>197</v>
      </c>
      <c r="C82" s="11" t="s">
        <v>198</v>
      </c>
      <c r="D82" s="13" t="s">
        <v>175</v>
      </c>
      <c r="E82" s="12" t="s">
        <v>179</v>
      </c>
      <c r="F82" s="11" t="s">
        <v>21</v>
      </c>
      <c r="G82" s="17" t="s">
        <v>24</v>
      </c>
      <c r="H82" s="11"/>
      <c r="I82" s="11"/>
      <c r="J82" s="12"/>
      <c r="K82" s="11"/>
    </row>
    <row r="83" spans="1:11" ht="18" customHeight="1" x14ac:dyDescent="0.2">
      <c r="A83" s="15">
        <v>76</v>
      </c>
      <c r="B83" s="16" t="s">
        <v>199</v>
      </c>
      <c r="C83" s="15" t="s">
        <v>200</v>
      </c>
      <c r="D83" s="13" t="s">
        <v>175</v>
      </c>
      <c r="E83" s="16" t="s">
        <v>201</v>
      </c>
      <c r="F83" s="15" t="s">
        <v>17</v>
      </c>
      <c r="G83" s="14" t="s">
        <v>18</v>
      </c>
      <c r="H83" s="15"/>
      <c r="I83" s="15"/>
      <c r="J83" s="16"/>
      <c r="K83" s="15"/>
    </row>
    <row r="84" spans="1:11" ht="18" customHeight="1" x14ac:dyDescent="0.2">
      <c r="A84" s="11">
        <v>77</v>
      </c>
      <c r="B84" s="12" t="s">
        <v>202</v>
      </c>
      <c r="C84" s="11" t="s">
        <v>203</v>
      </c>
      <c r="D84" s="13" t="s">
        <v>175</v>
      </c>
      <c r="E84" s="12" t="s">
        <v>204</v>
      </c>
      <c r="F84" s="11" t="s">
        <v>21</v>
      </c>
      <c r="G84" s="14" t="s">
        <v>18</v>
      </c>
      <c r="H84" s="11"/>
      <c r="I84" s="11"/>
      <c r="J84" s="12"/>
      <c r="K84" s="11"/>
    </row>
    <row r="85" spans="1:11" ht="18" customHeight="1" x14ac:dyDescent="0.2">
      <c r="A85" s="15">
        <v>78</v>
      </c>
      <c r="B85" s="16" t="s">
        <v>205</v>
      </c>
      <c r="C85" s="15" t="s">
        <v>206</v>
      </c>
      <c r="D85" s="13" t="s">
        <v>175</v>
      </c>
      <c r="E85" s="16" t="s">
        <v>207</v>
      </c>
      <c r="F85" s="15" t="s">
        <v>21</v>
      </c>
      <c r="G85" s="14" t="s">
        <v>18</v>
      </c>
      <c r="H85" s="15"/>
      <c r="I85" s="15"/>
      <c r="J85" s="16"/>
      <c r="K85" s="15"/>
    </row>
    <row r="86" spans="1:11" ht="18" customHeight="1" x14ac:dyDescent="0.2">
      <c r="A86" s="11">
        <v>79</v>
      </c>
      <c r="B86" s="12" t="s">
        <v>208</v>
      </c>
      <c r="C86" s="11" t="s">
        <v>209</v>
      </c>
      <c r="D86" s="13" t="s">
        <v>175</v>
      </c>
      <c r="E86" s="12" t="s">
        <v>210</v>
      </c>
      <c r="F86" s="11" t="s">
        <v>21</v>
      </c>
      <c r="G86" s="14" t="s">
        <v>18</v>
      </c>
      <c r="H86" s="11"/>
      <c r="I86" s="11"/>
      <c r="J86" s="12"/>
      <c r="K86" s="11"/>
    </row>
    <row r="87" spans="1:11" ht="18" customHeight="1" x14ac:dyDescent="0.2">
      <c r="A87" s="15">
        <v>80</v>
      </c>
      <c r="B87" s="16" t="s">
        <v>211</v>
      </c>
      <c r="C87" s="15" t="s">
        <v>212</v>
      </c>
      <c r="D87" s="13" t="s">
        <v>175</v>
      </c>
      <c r="E87" s="16" t="s">
        <v>213</v>
      </c>
      <c r="F87" s="15" t="s">
        <v>54</v>
      </c>
      <c r="G87" s="14" t="s">
        <v>18</v>
      </c>
      <c r="H87" s="15"/>
      <c r="I87" s="15"/>
      <c r="J87" s="16"/>
      <c r="K87" s="15"/>
    </row>
    <row r="88" spans="1:11" ht="18" customHeight="1" x14ac:dyDescent="0.2">
      <c r="A88" s="11">
        <v>81</v>
      </c>
      <c r="B88" s="12" t="s">
        <v>214</v>
      </c>
      <c r="C88" s="11" t="s">
        <v>215</v>
      </c>
      <c r="D88" s="13" t="s">
        <v>175</v>
      </c>
      <c r="E88" s="12" t="s">
        <v>216</v>
      </c>
      <c r="F88" s="11" t="s">
        <v>21</v>
      </c>
      <c r="G88" s="14" t="s">
        <v>18</v>
      </c>
      <c r="H88" s="11"/>
      <c r="I88" s="11"/>
      <c r="J88" s="12"/>
      <c r="K88" s="11"/>
    </row>
    <row r="89" spans="1:11" ht="18" customHeight="1" x14ac:dyDescent="0.2">
      <c r="A89" s="15">
        <v>82</v>
      </c>
      <c r="B89" s="16" t="s">
        <v>217</v>
      </c>
      <c r="C89" s="15" t="s">
        <v>218</v>
      </c>
      <c r="D89" s="13" t="s">
        <v>175</v>
      </c>
      <c r="E89" s="16" t="s">
        <v>216</v>
      </c>
      <c r="F89" s="15" t="s">
        <v>17</v>
      </c>
      <c r="G89" s="14" t="s">
        <v>18</v>
      </c>
      <c r="H89" s="15"/>
      <c r="I89" s="15"/>
      <c r="J89" s="16"/>
      <c r="K89" s="15"/>
    </row>
    <row r="90" spans="1:11" ht="18" customHeight="1" x14ac:dyDescent="0.2">
      <c r="A90" s="11">
        <v>83</v>
      </c>
      <c r="B90" s="12" t="s">
        <v>219</v>
      </c>
      <c r="C90" s="11" t="s">
        <v>220</v>
      </c>
      <c r="D90" s="13" t="s">
        <v>175</v>
      </c>
      <c r="E90" s="12" t="s">
        <v>221</v>
      </c>
      <c r="F90" s="11" t="s">
        <v>21</v>
      </c>
      <c r="G90" s="14" t="s">
        <v>18</v>
      </c>
      <c r="H90" s="11"/>
      <c r="I90" s="11"/>
      <c r="J90" s="12"/>
      <c r="K90" s="11"/>
    </row>
    <row r="91" spans="1:11" ht="18" customHeight="1" x14ac:dyDescent="0.2">
      <c r="A91" s="15">
        <v>84</v>
      </c>
      <c r="B91" s="16" t="s">
        <v>222</v>
      </c>
      <c r="C91" s="15" t="s">
        <v>223</v>
      </c>
      <c r="D91" s="13" t="s">
        <v>175</v>
      </c>
      <c r="E91" s="16" t="s">
        <v>216</v>
      </c>
      <c r="F91" s="15" t="s">
        <v>17</v>
      </c>
      <c r="G91" s="14" t="s">
        <v>18</v>
      </c>
      <c r="H91" s="15"/>
      <c r="I91" s="15"/>
      <c r="J91" s="16"/>
      <c r="K91" s="15"/>
    </row>
    <row r="92" spans="1:11" ht="18" customHeight="1" x14ac:dyDescent="0.2">
      <c r="A92" s="11">
        <v>85</v>
      </c>
      <c r="B92" s="12" t="s">
        <v>224</v>
      </c>
      <c r="C92" s="11" t="s">
        <v>225</v>
      </c>
      <c r="D92" s="13" t="s">
        <v>175</v>
      </c>
      <c r="E92" s="12" t="s">
        <v>226</v>
      </c>
      <c r="F92" s="11" t="s">
        <v>17</v>
      </c>
      <c r="G92" s="14" t="s">
        <v>18</v>
      </c>
      <c r="H92" s="11"/>
      <c r="I92" s="11"/>
      <c r="J92" s="12"/>
      <c r="K92" s="11"/>
    </row>
    <row r="93" spans="1:11" ht="18" customHeight="1" x14ac:dyDescent="0.2">
      <c r="A93" s="15">
        <v>86</v>
      </c>
      <c r="B93" s="16" t="s">
        <v>227</v>
      </c>
      <c r="C93" s="15" t="s">
        <v>228</v>
      </c>
      <c r="D93" s="13" t="s">
        <v>175</v>
      </c>
      <c r="E93" s="16" t="s">
        <v>229</v>
      </c>
      <c r="F93" s="15" t="s">
        <v>17</v>
      </c>
      <c r="G93" s="14" t="s">
        <v>18</v>
      </c>
      <c r="H93" s="15"/>
      <c r="I93" s="15"/>
      <c r="J93" s="16"/>
      <c r="K93" s="15"/>
    </row>
    <row r="94" spans="1:11" ht="18" customHeight="1" x14ac:dyDescent="0.2">
      <c r="A94" s="11">
        <v>87</v>
      </c>
      <c r="B94" s="12" t="s">
        <v>230</v>
      </c>
      <c r="C94" s="11" t="s">
        <v>231</v>
      </c>
      <c r="D94" s="13" t="s">
        <v>175</v>
      </c>
      <c r="E94" s="12" t="s">
        <v>229</v>
      </c>
      <c r="F94" s="11" t="s">
        <v>17</v>
      </c>
      <c r="G94" s="14" t="s">
        <v>18</v>
      </c>
      <c r="H94" s="11"/>
      <c r="I94" s="11"/>
      <c r="J94" s="12"/>
      <c r="K94" s="11"/>
    </row>
    <row r="95" spans="1:11" ht="18" customHeight="1" x14ac:dyDescent="0.2">
      <c r="A95" s="15">
        <v>88</v>
      </c>
      <c r="B95" s="16" t="s">
        <v>232</v>
      </c>
      <c r="C95" s="15" t="s">
        <v>233</v>
      </c>
      <c r="D95" s="13" t="s">
        <v>175</v>
      </c>
      <c r="E95" s="16" t="s">
        <v>229</v>
      </c>
      <c r="F95" s="15" t="s">
        <v>17</v>
      </c>
      <c r="G95" s="14" t="s">
        <v>18</v>
      </c>
      <c r="H95" s="15"/>
      <c r="I95" s="15"/>
      <c r="J95" s="16"/>
      <c r="K95" s="15"/>
    </row>
    <row r="96" spans="1:11" ht="18" customHeight="1" x14ac:dyDescent="0.2">
      <c r="A96" s="11">
        <v>89</v>
      </c>
      <c r="B96" s="12" t="s">
        <v>234</v>
      </c>
      <c r="C96" s="11" t="s">
        <v>235</v>
      </c>
      <c r="D96" s="13" t="s">
        <v>175</v>
      </c>
      <c r="E96" s="12" t="s">
        <v>229</v>
      </c>
      <c r="F96" s="11" t="s">
        <v>54</v>
      </c>
      <c r="G96" s="14" t="s">
        <v>18</v>
      </c>
      <c r="H96" s="11"/>
      <c r="I96" s="11"/>
      <c r="J96" s="12"/>
      <c r="K96" s="11"/>
    </row>
    <row r="97" spans="1:13" ht="18" customHeight="1" x14ac:dyDescent="0.2">
      <c r="A97" s="15">
        <v>90</v>
      </c>
      <c r="B97" s="16" t="s">
        <v>236</v>
      </c>
      <c r="C97" s="15" t="s">
        <v>237</v>
      </c>
      <c r="D97" s="13" t="s">
        <v>175</v>
      </c>
      <c r="E97" s="16" t="s">
        <v>238</v>
      </c>
      <c r="F97" s="15" t="s">
        <v>21</v>
      </c>
      <c r="G97" s="14" t="s">
        <v>18</v>
      </c>
      <c r="H97" s="15"/>
      <c r="I97" s="15"/>
      <c r="J97" s="16"/>
      <c r="K97" s="15"/>
    </row>
    <row r="98" spans="1:13" ht="18" customHeight="1" x14ac:dyDescent="0.2">
      <c r="A98" s="11">
        <v>91</v>
      </c>
      <c r="B98" s="12" t="s">
        <v>239</v>
      </c>
      <c r="C98" s="11" t="s">
        <v>240</v>
      </c>
      <c r="D98" s="13" t="s">
        <v>175</v>
      </c>
      <c r="E98" s="12" t="s">
        <v>241</v>
      </c>
      <c r="F98" s="11" t="s">
        <v>17</v>
      </c>
      <c r="G98" s="14" t="s">
        <v>18</v>
      </c>
      <c r="H98" s="11"/>
      <c r="I98" s="11"/>
      <c r="J98" s="12"/>
      <c r="K98" s="11"/>
    </row>
    <row r="99" spans="1:13" ht="18" customHeight="1" x14ac:dyDescent="0.2">
      <c r="A99" s="15">
        <v>92</v>
      </c>
      <c r="B99" s="16" t="s">
        <v>242</v>
      </c>
      <c r="C99" s="15" t="s">
        <v>243</v>
      </c>
      <c r="D99" s="13" t="s">
        <v>175</v>
      </c>
      <c r="E99" s="16" t="s">
        <v>244</v>
      </c>
      <c r="F99" s="15" t="s">
        <v>21</v>
      </c>
      <c r="G99" s="14" t="s">
        <v>18</v>
      </c>
      <c r="H99" s="15"/>
      <c r="I99" s="15"/>
      <c r="J99" s="16"/>
      <c r="K99" s="15"/>
    </row>
    <row r="100" spans="1:13" ht="18" customHeight="1" x14ac:dyDescent="0.2">
      <c r="A100" s="11">
        <v>93</v>
      </c>
      <c r="B100" s="12" t="s">
        <v>245</v>
      </c>
      <c r="C100" s="11" t="s">
        <v>246</v>
      </c>
      <c r="D100" s="13" t="s">
        <v>175</v>
      </c>
      <c r="E100" s="12" t="s">
        <v>244</v>
      </c>
      <c r="F100" s="11" t="s">
        <v>54</v>
      </c>
      <c r="G100" s="17" t="s">
        <v>24</v>
      </c>
      <c r="H100" s="11"/>
      <c r="I100" s="11"/>
      <c r="J100" s="12"/>
      <c r="K100" s="11"/>
    </row>
    <row r="101" spans="1:13" ht="18" customHeight="1" x14ac:dyDescent="0.2">
      <c r="A101" s="15">
        <v>94</v>
      </c>
      <c r="B101" s="16" t="s">
        <v>247</v>
      </c>
      <c r="C101" s="15" t="s">
        <v>248</v>
      </c>
      <c r="D101" s="13" t="s">
        <v>175</v>
      </c>
      <c r="E101" s="16" t="s">
        <v>249</v>
      </c>
      <c r="F101" s="15" t="s">
        <v>21</v>
      </c>
      <c r="G101" s="14" t="s">
        <v>18</v>
      </c>
      <c r="H101" s="15"/>
      <c r="I101" s="15"/>
      <c r="J101" s="16"/>
      <c r="K101" s="15"/>
    </row>
    <row r="102" spans="1:13" ht="18" customHeight="1" x14ac:dyDescent="0.2">
      <c r="A102" s="11">
        <v>95</v>
      </c>
      <c r="B102" s="12" t="s">
        <v>250</v>
      </c>
      <c r="C102" s="11" t="s">
        <v>251</v>
      </c>
      <c r="D102" s="13" t="s">
        <v>175</v>
      </c>
      <c r="E102" s="12" t="s">
        <v>249</v>
      </c>
      <c r="F102" s="11" t="s">
        <v>21</v>
      </c>
      <c r="G102" s="14" t="s">
        <v>18</v>
      </c>
      <c r="H102" s="11"/>
      <c r="I102" s="11"/>
      <c r="J102" s="12"/>
      <c r="K102" s="11"/>
    </row>
    <row r="103" spans="1:13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 spans="1:13" ht="21.75" customHeight="1" x14ac:dyDescent="0.2">
      <c r="A104" s="47" t="s">
        <v>168</v>
      </c>
      <c r="B104" s="47"/>
      <c r="C104" s="47"/>
      <c r="D104" s="19" t="s">
        <v>169</v>
      </c>
      <c r="E104" s="20">
        <f>COUNTA(B4:B102)</f>
        <v>95</v>
      </c>
      <c r="F104" s="19" t="s">
        <v>15</v>
      </c>
      <c r="G104" s="20">
        <f>COUNTIF(D4:D102,"Healthcare")</f>
        <v>22</v>
      </c>
      <c r="H104" s="19" t="s">
        <v>170</v>
      </c>
      <c r="I104" s="20">
        <f>COUNTIF(D4:D102,"Law Firm")</f>
        <v>20</v>
      </c>
      <c r="J104" s="19" t="s">
        <v>116</v>
      </c>
      <c r="K104" s="20">
        <f>COUNTIF(D4:D102,"Construction / Contracting")</f>
        <v>24</v>
      </c>
      <c r="L104" s="19" t="s">
        <v>175</v>
      </c>
      <c r="M104" s="20">
        <f>COUNTIF(D4:D102,"Regenerative Medicine")</f>
        <v>29</v>
      </c>
    </row>
    <row r="105" spans="1:13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</row>
    <row r="106" spans="1:13" x14ac:dyDescent="0.2">
      <c r="A106" s="42" t="s">
        <v>252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</row>
    <row r="110" spans="1:13" ht="15" customHeight="1" x14ac:dyDescent="0.2">
      <c r="G110">
        <v>95</v>
      </c>
    </row>
    <row r="111" spans="1:13" ht="15" customHeight="1" x14ac:dyDescent="0.2">
      <c r="G111">
        <v>10</v>
      </c>
    </row>
    <row r="112" spans="1:13" ht="15" customHeight="1" x14ac:dyDescent="0.2">
      <c r="G112" s="34">
        <f>G111*500</f>
        <v>5000</v>
      </c>
    </row>
  </sheetData>
  <mergeCells count="6">
    <mergeCell ref="A106:K106"/>
    <mergeCell ref="A1:K1"/>
    <mergeCell ref="A2:K2"/>
    <mergeCell ref="A71:C71"/>
    <mergeCell ref="A73:K73"/>
    <mergeCell ref="A104:C10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topLeftCell="C1" zoomScale="150" zoomScaleNormal="150" workbookViewId="0">
      <pane ySplit="3" topLeftCell="A4" activePane="bottomLeft" state="frozen"/>
      <selection pane="bottomLeft" activeCell="I10" sqref="I10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</cols>
  <sheetData>
    <row r="1" spans="1:13" ht="30" customHeight="1" x14ac:dyDescent="0.2">
      <c r="A1" s="48" t="s">
        <v>253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3" ht="18" customHeight="1" x14ac:dyDescent="0.2">
      <c r="A2" s="49" t="s">
        <v>254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3" ht="21.75" customHeight="1" x14ac:dyDescent="0.2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  <c r="F3" s="21" t="s">
        <v>7</v>
      </c>
      <c r="G3" s="21" t="s">
        <v>8</v>
      </c>
      <c r="H3" s="21" t="s">
        <v>9</v>
      </c>
      <c r="I3" s="21" t="s">
        <v>10</v>
      </c>
      <c r="J3" s="21" t="s">
        <v>11</v>
      </c>
      <c r="K3" s="21" t="s">
        <v>12</v>
      </c>
      <c r="L3" s="50" t="s">
        <v>270</v>
      </c>
      <c r="M3" s="51"/>
    </row>
    <row r="4" spans="1:13" ht="28" x14ac:dyDescent="0.2">
      <c r="A4" s="2">
        <v>1</v>
      </c>
      <c r="B4" s="3" t="s">
        <v>13</v>
      </c>
      <c r="C4" s="2" t="s">
        <v>14</v>
      </c>
      <c r="D4" s="2" t="s">
        <v>15</v>
      </c>
      <c r="E4" s="3" t="s">
        <v>16</v>
      </c>
      <c r="F4" s="2" t="s">
        <v>17</v>
      </c>
      <c r="G4" s="4" t="s">
        <v>18</v>
      </c>
      <c r="H4" s="2" t="s">
        <v>268</v>
      </c>
      <c r="I4" s="2" t="s">
        <v>278</v>
      </c>
      <c r="J4" s="3" t="s">
        <v>267</v>
      </c>
      <c r="K4" s="2"/>
      <c r="L4" s="2" t="s">
        <v>276</v>
      </c>
      <c r="M4" s="2"/>
    </row>
    <row r="5" spans="1:13" ht="42" x14ac:dyDescent="0.2">
      <c r="A5" s="22">
        <v>2</v>
      </c>
      <c r="B5" s="23" t="s">
        <v>19</v>
      </c>
      <c r="C5" s="22" t="s">
        <v>20</v>
      </c>
      <c r="D5" s="22" t="s">
        <v>15</v>
      </c>
      <c r="E5" s="23" t="s">
        <v>16</v>
      </c>
      <c r="F5" s="22" t="s">
        <v>21</v>
      </c>
      <c r="G5" s="4" t="s">
        <v>18</v>
      </c>
      <c r="H5" s="22" t="s">
        <v>268</v>
      </c>
      <c r="I5" s="22" t="s">
        <v>278</v>
      </c>
      <c r="J5" s="23" t="s">
        <v>310</v>
      </c>
      <c r="K5" s="22"/>
      <c r="L5" s="22"/>
      <c r="M5" s="22"/>
    </row>
    <row r="6" spans="1:13" ht="18" customHeight="1" x14ac:dyDescent="0.2">
      <c r="A6" s="2">
        <v>3</v>
      </c>
      <c r="B6" s="3" t="s">
        <v>22</v>
      </c>
      <c r="C6" s="2" t="s">
        <v>23</v>
      </c>
      <c r="D6" s="2" t="s">
        <v>15</v>
      </c>
      <c r="E6" s="3" t="s">
        <v>16</v>
      </c>
      <c r="F6" s="2" t="s">
        <v>17</v>
      </c>
      <c r="G6" s="7" t="s">
        <v>24</v>
      </c>
      <c r="H6" s="2"/>
      <c r="I6" s="2"/>
      <c r="J6" s="3"/>
      <c r="K6" s="2"/>
      <c r="L6" s="2"/>
      <c r="M6" s="2"/>
    </row>
    <row r="7" spans="1:13" ht="18" customHeight="1" x14ac:dyDescent="0.2">
      <c r="A7" s="22">
        <v>4</v>
      </c>
      <c r="B7" s="23" t="s">
        <v>25</v>
      </c>
      <c r="C7" s="22" t="s">
        <v>26</v>
      </c>
      <c r="D7" s="22" t="s">
        <v>15</v>
      </c>
      <c r="E7" s="23" t="s">
        <v>16</v>
      </c>
      <c r="F7" s="22" t="s">
        <v>17</v>
      </c>
      <c r="G7" s="7" t="s">
        <v>24</v>
      </c>
      <c r="H7" s="22"/>
      <c r="I7" s="22"/>
      <c r="J7" s="23"/>
      <c r="K7" s="22"/>
      <c r="L7" s="22"/>
      <c r="M7" s="22"/>
    </row>
    <row r="8" spans="1:13" ht="18" customHeight="1" x14ac:dyDescent="0.2">
      <c r="A8" s="2">
        <v>5</v>
      </c>
      <c r="B8" s="3" t="s">
        <v>27</v>
      </c>
      <c r="C8" s="2" t="s">
        <v>28</v>
      </c>
      <c r="D8" s="2" t="s">
        <v>15</v>
      </c>
      <c r="E8" s="3" t="s">
        <v>16</v>
      </c>
      <c r="F8" s="2" t="s">
        <v>17</v>
      </c>
      <c r="G8" s="4" t="s">
        <v>18</v>
      </c>
      <c r="H8" s="2" t="s">
        <v>268</v>
      </c>
      <c r="I8" s="2" t="s">
        <v>278</v>
      </c>
      <c r="J8" s="3" t="s">
        <v>300</v>
      </c>
      <c r="K8" s="2"/>
      <c r="L8" s="2" t="s">
        <v>299</v>
      </c>
      <c r="M8" s="2"/>
    </row>
    <row r="9" spans="1:13" ht="18" customHeight="1" x14ac:dyDescent="0.2">
      <c r="A9" s="22">
        <v>6</v>
      </c>
      <c r="B9" s="23" t="s">
        <v>29</v>
      </c>
      <c r="C9" s="22" t="s">
        <v>301</v>
      </c>
      <c r="D9" s="22" t="s">
        <v>15</v>
      </c>
      <c r="E9" s="23" t="s">
        <v>16</v>
      </c>
      <c r="F9" s="22" t="s">
        <v>17</v>
      </c>
      <c r="G9" s="4" t="s">
        <v>18</v>
      </c>
      <c r="H9" s="22" t="s">
        <v>268</v>
      </c>
      <c r="I9" s="22" t="s">
        <v>278</v>
      </c>
      <c r="J9" s="23" t="s">
        <v>302</v>
      </c>
      <c r="K9" s="22"/>
      <c r="L9" s="22"/>
      <c r="M9" s="22"/>
    </row>
    <row r="10" spans="1:13" ht="42" x14ac:dyDescent="0.2">
      <c r="A10" s="2">
        <v>7</v>
      </c>
      <c r="B10" s="3" t="s">
        <v>30</v>
      </c>
      <c r="C10" s="2" t="s">
        <v>303</v>
      </c>
      <c r="D10" s="2" t="s">
        <v>15</v>
      </c>
      <c r="E10" s="3" t="s">
        <v>16</v>
      </c>
      <c r="F10" s="2" t="s">
        <v>17</v>
      </c>
      <c r="G10" s="4" t="s">
        <v>18</v>
      </c>
      <c r="H10" s="2" t="s">
        <v>268</v>
      </c>
      <c r="I10" s="2" t="s">
        <v>278</v>
      </c>
      <c r="J10" s="3" t="s">
        <v>304</v>
      </c>
      <c r="K10" s="2"/>
      <c r="L10" s="2"/>
      <c r="M10" s="2"/>
    </row>
    <row r="11" spans="1:13" ht="18" customHeight="1" x14ac:dyDescent="0.2">
      <c r="A11" s="22">
        <v>8</v>
      </c>
      <c r="B11" s="23" t="s">
        <v>32</v>
      </c>
      <c r="C11" s="22" t="s">
        <v>33</v>
      </c>
      <c r="D11" s="22" t="s">
        <v>15</v>
      </c>
      <c r="E11" s="23" t="s">
        <v>16</v>
      </c>
      <c r="F11" s="22" t="s">
        <v>17</v>
      </c>
      <c r="G11" s="7" t="s">
        <v>24</v>
      </c>
      <c r="H11" s="22"/>
      <c r="I11" s="22"/>
      <c r="J11" s="23"/>
      <c r="K11" s="22"/>
      <c r="L11" s="22"/>
      <c r="M11" s="22"/>
    </row>
    <row r="12" spans="1:13" ht="18" customHeight="1" x14ac:dyDescent="0.2">
      <c r="A12" s="2">
        <v>9</v>
      </c>
      <c r="B12" s="3" t="s">
        <v>34</v>
      </c>
      <c r="C12" s="2" t="s">
        <v>35</v>
      </c>
      <c r="D12" s="2" t="s">
        <v>15</v>
      </c>
      <c r="E12" s="3" t="s">
        <v>36</v>
      </c>
      <c r="F12" s="2" t="s">
        <v>17</v>
      </c>
      <c r="G12" s="4" t="s">
        <v>18</v>
      </c>
      <c r="H12" s="2"/>
      <c r="I12" s="2"/>
      <c r="J12" s="3"/>
      <c r="K12" s="2"/>
      <c r="L12" s="2"/>
      <c r="M12" s="2"/>
    </row>
    <row r="13" spans="1:13" ht="18" customHeight="1" x14ac:dyDescent="0.2">
      <c r="A13" s="22">
        <v>10</v>
      </c>
      <c r="B13" s="23" t="s">
        <v>37</v>
      </c>
      <c r="C13" s="22" t="s">
        <v>38</v>
      </c>
      <c r="D13" s="22" t="s">
        <v>15</v>
      </c>
      <c r="E13" s="23" t="s">
        <v>36</v>
      </c>
      <c r="F13" s="22" t="s">
        <v>17</v>
      </c>
      <c r="G13" s="4" t="s">
        <v>18</v>
      </c>
      <c r="H13" s="22"/>
      <c r="I13" s="22"/>
      <c r="J13" s="23"/>
      <c r="K13" s="22"/>
      <c r="L13" s="22"/>
      <c r="M13" s="22"/>
    </row>
    <row r="14" spans="1:13" ht="18" customHeight="1" x14ac:dyDescent="0.2">
      <c r="A14" s="2">
        <v>11</v>
      </c>
      <c r="B14" s="3" t="s">
        <v>39</v>
      </c>
      <c r="C14" s="2" t="s">
        <v>40</v>
      </c>
      <c r="D14" s="2" t="s">
        <v>15</v>
      </c>
      <c r="E14" s="3" t="s">
        <v>36</v>
      </c>
      <c r="F14" s="2" t="s">
        <v>17</v>
      </c>
      <c r="G14" s="4" t="s">
        <v>18</v>
      </c>
      <c r="H14" s="2"/>
      <c r="I14" s="2"/>
      <c r="J14" s="3"/>
      <c r="K14" s="2"/>
      <c r="L14" s="2"/>
      <c r="M14" s="2"/>
    </row>
    <row r="15" spans="1:13" ht="18" customHeight="1" x14ac:dyDescent="0.2">
      <c r="A15" s="22">
        <v>12</v>
      </c>
      <c r="B15" s="23" t="s">
        <v>41</v>
      </c>
      <c r="C15" s="22" t="s">
        <v>42</v>
      </c>
      <c r="D15" s="22" t="s">
        <v>15</v>
      </c>
      <c r="E15" s="23" t="s">
        <v>36</v>
      </c>
      <c r="F15" s="22" t="s">
        <v>17</v>
      </c>
      <c r="G15" s="4" t="s">
        <v>18</v>
      </c>
      <c r="H15" s="22"/>
      <c r="I15" s="22"/>
      <c r="J15" s="23"/>
      <c r="K15" s="22"/>
      <c r="L15" s="22"/>
      <c r="M15" s="22"/>
    </row>
    <row r="16" spans="1:13" ht="18" customHeight="1" x14ac:dyDescent="0.2">
      <c r="A16" s="2">
        <v>13</v>
      </c>
      <c r="B16" s="3" t="s">
        <v>43</v>
      </c>
      <c r="C16" s="2" t="s">
        <v>44</v>
      </c>
      <c r="D16" s="2" t="s">
        <v>15</v>
      </c>
      <c r="E16" s="3" t="s">
        <v>36</v>
      </c>
      <c r="F16" s="2" t="s">
        <v>17</v>
      </c>
      <c r="G16" s="4" t="s">
        <v>18</v>
      </c>
      <c r="H16" s="2"/>
      <c r="I16" s="2"/>
      <c r="J16" s="3"/>
      <c r="K16" s="2"/>
      <c r="L16" s="2"/>
      <c r="M16" s="2"/>
    </row>
    <row r="17" spans="1:13" ht="18" customHeight="1" x14ac:dyDescent="0.2">
      <c r="A17" s="22">
        <v>14</v>
      </c>
      <c r="B17" s="23" t="s">
        <v>45</v>
      </c>
      <c r="C17" s="22" t="s">
        <v>46</v>
      </c>
      <c r="D17" s="22" t="s">
        <v>15</v>
      </c>
      <c r="E17" s="23" t="s">
        <v>36</v>
      </c>
      <c r="F17" s="22" t="s">
        <v>17</v>
      </c>
      <c r="G17" s="7" t="s">
        <v>24</v>
      </c>
      <c r="H17" s="22"/>
      <c r="I17" s="22"/>
      <c r="J17" s="23"/>
      <c r="K17" s="22"/>
      <c r="L17" s="22"/>
      <c r="M17" s="22"/>
    </row>
    <row r="18" spans="1:13" ht="18" customHeight="1" x14ac:dyDescent="0.2">
      <c r="A18" s="2">
        <v>15</v>
      </c>
      <c r="B18" s="3" t="s">
        <v>47</v>
      </c>
      <c r="C18" s="2" t="s">
        <v>48</v>
      </c>
      <c r="D18" s="2" t="s">
        <v>15</v>
      </c>
      <c r="E18" s="3" t="s">
        <v>36</v>
      </c>
      <c r="F18" s="2" t="s">
        <v>17</v>
      </c>
      <c r="G18" s="4" t="s">
        <v>18</v>
      </c>
      <c r="H18" s="2"/>
      <c r="I18" s="2"/>
      <c r="J18" s="3"/>
      <c r="K18" s="2"/>
      <c r="L18" s="2"/>
      <c r="M18" s="2"/>
    </row>
    <row r="19" spans="1:13" ht="18" customHeight="1" x14ac:dyDescent="0.2">
      <c r="A19" s="22">
        <v>16</v>
      </c>
      <c r="B19" s="23" t="s">
        <v>49</v>
      </c>
      <c r="C19" s="22" t="s">
        <v>50</v>
      </c>
      <c r="D19" s="22" t="s">
        <v>15</v>
      </c>
      <c r="E19" s="23" t="s">
        <v>36</v>
      </c>
      <c r="F19" s="22" t="s">
        <v>21</v>
      </c>
      <c r="G19" s="4" t="s">
        <v>18</v>
      </c>
      <c r="H19" s="22"/>
      <c r="I19" s="22"/>
      <c r="J19" s="23"/>
      <c r="K19" s="22"/>
      <c r="L19" s="22"/>
      <c r="M19" s="22"/>
    </row>
    <row r="20" spans="1:13" ht="18" customHeight="1" x14ac:dyDescent="0.2">
      <c r="A20" s="2">
        <v>17</v>
      </c>
      <c r="B20" s="3" t="s">
        <v>51</v>
      </c>
      <c r="C20" s="2" t="s">
        <v>52</v>
      </c>
      <c r="D20" s="2" t="s">
        <v>15</v>
      </c>
      <c r="E20" s="3" t="s">
        <v>53</v>
      </c>
      <c r="F20" s="2" t="s">
        <v>54</v>
      </c>
      <c r="G20" s="7" t="s">
        <v>24</v>
      </c>
      <c r="H20" s="2"/>
      <c r="I20" s="2"/>
      <c r="J20" s="3"/>
      <c r="K20" s="2"/>
      <c r="L20" s="2"/>
      <c r="M20" s="2"/>
    </row>
    <row r="21" spans="1:13" ht="18" customHeight="1" x14ac:dyDescent="0.2">
      <c r="A21" s="22">
        <v>18</v>
      </c>
      <c r="B21" s="23" t="s">
        <v>55</v>
      </c>
      <c r="C21" s="22" t="s">
        <v>56</v>
      </c>
      <c r="D21" s="22" t="s">
        <v>15</v>
      </c>
      <c r="E21" s="23" t="s">
        <v>57</v>
      </c>
      <c r="F21" s="22" t="s">
        <v>21</v>
      </c>
      <c r="G21" s="4" t="s">
        <v>18</v>
      </c>
      <c r="H21" s="22"/>
      <c r="I21" s="22"/>
      <c r="J21" s="23"/>
      <c r="K21" s="22"/>
      <c r="L21" s="22"/>
      <c r="M21" s="22"/>
    </row>
    <row r="22" spans="1:13" ht="18" customHeight="1" x14ac:dyDescent="0.2">
      <c r="A22" s="2">
        <v>19</v>
      </c>
      <c r="B22" s="3" t="s">
        <v>58</v>
      </c>
      <c r="C22" s="2" t="s">
        <v>59</v>
      </c>
      <c r="D22" s="2" t="s">
        <v>15</v>
      </c>
      <c r="E22" s="3" t="s">
        <v>57</v>
      </c>
      <c r="F22" s="2" t="s">
        <v>54</v>
      </c>
      <c r="G22" s="7" t="s">
        <v>24</v>
      </c>
      <c r="H22" s="2"/>
      <c r="I22" s="2"/>
      <c r="J22" s="3"/>
      <c r="K22" s="2"/>
      <c r="L22" s="2"/>
      <c r="M22" s="2"/>
    </row>
    <row r="23" spans="1:13" ht="18" customHeight="1" x14ac:dyDescent="0.2">
      <c r="A23" s="22">
        <v>20</v>
      </c>
      <c r="B23" s="23" t="s">
        <v>60</v>
      </c>
      <c r="C23" s="22" t="s">
        <v>61</v>
      </c>
      <c r="D23" s="22" t="s">
        <v>15</v>
      </c>
      <c r="E23" s="23" t="s">
        <v>62</v>
      </c>
      <c r="F23" s="22" t="s">
        <v>21</v>
      </c>
      <c r="G23" s="7" t="s">
        <v>24</v>
      </c>
      <c r="H23" s="22"/>
      <c r="I23" s="22"/>
      <c r="J23" s="23"/>
      <c r="K23" s="22"/>
      <c r="L23" s="22"/>
      <c r="M23" s="22"/>
    </row>
    <row r="24" spans="1:13" ht="18" customHeight="1" x14ac:dyDescent="0.2">
      <c r="A24" s="2">
        <v>21</v>
      </c>
      <c r="B24" s="3" t="s">
        <v>63</v>
      </c>
      <c r="C24" s="2" t="s">
        <v>64</v>
      </c>
      <c r="D24" s="2" t="s">
        <v>15</v>
      </c>
      <c r="E24" s="3" t="s">
        <v>57</v>
      </c>
      <c r="F24" s="2" t="s">
        <v>54</v>
      </c>
      <c r="G24" s="4" t="s">
        <v>18</v>
      </c>
      <c r="H24" s="2"/>
      <c r="I24" s="2"/>
      <c r="J24" s="3"/>
      <c r="K24" s="2"/>
      <c r="L24" s="2"/>
      <c r="M24" s="2"/>
    </row>
    <row r="25" spans="1:13" ht="18" customHeight="1" x14ac:dyDescent="0.2">
      <c r="A25" s="22">
        <v>22</v>
      </c>
      <c r="B25" s="23" t="s">
        <v>65</v>
      </c>
      <c r="C25" s="22" t="s">
        <v>66</v>
      </c>
      <c r="D25" s="22" t="s">
        <v>15</v>
      </c>
      <c r="E25" s="23" t="s">
        <v>57</v>
      </c>
      <c r="F25" s="22" t="s">
        <v>17</v>
      </c>
      <c r="G25" s="4" t="s">
        <v>18</v>
      </c>
      <c r="H25" s="22"/>
      <c r="I25" s="22"/>
      <c r="J25" s="23"/>
      <c r="K25" s="22"/>
      <c r="L25" s="22"/>
      <c r="M25" s="22"/>
    </row>
  </sheetData>
  <mergeCells count="3">
    <mergeCell ref="A1:K1"/>
    <mergeCell ref="A2:K2"/>
    <mergeCell ref="L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zoomScale="160" zoomScaleNormal="160" workbookViewId="0">
      <pane ySplit="3" topLeftCell="A4" activePane="bottomLeft" state="frozen"/>
      <selection pane="bottomLeft" activeCell="B12" sqref="B12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</cols>
  <sheetData>
    <row r="1" spans="1:12" ht="30" customHeight="1" x14ac:dyDescent="0.2">
      <c r="A1" s="40" t="s">
        <v>255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2" ht="18" customHeight="1" x14ac:dyDescent="0.2">
      <c r="A2" s="41" t="s">
        <v>256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2" ht="21.75" customHeight="1" x14ac:dyDescent="0.2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36" t="s">
        <v>272</v>
      </c>
    </row>
    <row r="4" spans="1:12" ht="18" customHeight="1" x14ac:dyDescent="0.2">
      <c r="A4" s="2">
        <v>23</v>
      </c>
      <c r="B4" s="3" t="s">
        <v>67</v>
      </c>
      <c r="C4" s="2" t="s">
        <v>68</v>
      </c>
      <c r="D4" s="2" t="s">
        <v>69</v>
      </c>
      <c r="E4" s="3" t="s">
        <v>70</v>
      </c>
      <c r="F4" s="2" t="s">
        <v>21</v>
      </c>
      <c r="G4" s="4" t="s">
        <v>18</v>
      </c>
      <c r="H4" s="2" t="s">
        <v>268</v>
      </c>
      <c r="I4" s="2" t="s">
        <v>278</v>
      </c>
      <c r="J4" s="3" t="s">
        <v>290</v>
      </c>
      <c r="K4" s="2"/>
    </row>
    <row r="5" spans="1:12" ht="18" customHeight="1" x14ac:dyDescent="0.2">
      <c r="A5" s="24">
        <v>24</v>
      </c>
      <c r="B5" s="25" t="s">
        <v>71</v>
      </c>
      <c r="C5" s="24" t="s">
        <v>72</v>
      </c>
      <c r="D5" s="24" t="s">
        <v>69</v>
      </c>
      <c r="E5" s="25" t="s">
        <v>70</v>
      </c>
      <c r="F5" s="24" t="s">
        <v>21</v>
      </c>
      <c r="G5" s="4" t="s">
        <v>18</v>
      </c>
      <c r="H5" s="24" t="s">
        <v>278</v>
      </c>
      <c r="I5" s="24"/>
      <c r="J5" s="25" t="s">
        <v>291</v>
      </c>
      <c r="K5" s="24"/>
    </row>
    <row r="6" spans="1:12" ht="18" customHeight="1" x14ac:dyDescent="0.2">
      <c r="A6" s="2">
        <v>25</v>
      </c>
      <c r="B6" s="3" t="s">
        <v>73</v>
      </c>
      <c r="C6" s="2" t="s">
        <v>74</v>
      </c>
      <c r="D6" s="2" t="s">
        <v>69</v>
      </c>
      <c r="E6" s="3" t="s">
        <v>70</v>
      </c>
      <c r="F6" s="2" t="s">
        <v>21</v>
      </c>
      <c r="G6" s="4" t="s">
        <v>18</v>
      </c>
      <c r="H6" s="2" t="s">
        <v>278</v>
      </c>
      <c r="I6" s="2"/>
      <c r="J6" s="3" t="s">
        <v>291</v>
      </c>
      <c r="K6" s="2"/>
    </row>
    <row r="7" spans="1:12" ht="18" customHeight="1" x14ac:dyDescent="0.2">
      <c r="A7" s="24">
        <v>26</v>
      </c>
      <c r="B7" s="25" t="s">
        <v>75</v>
      </c>
      <c r="C7" s="24" t="s">
        <v>76</v>
      </c>
      <c r="D7" s="24" t="s">
        <v>69</v>
      </c>
      <c r="E7" s="25" t="s">
        <v>70</v>
      </c>
      <c r="F7" s="24" t="s">
        <v>17</v>
      </c>
      <c r="G7" s="4" t="s">
        <v>18</v>
      </c>
      <c r="H7" s="24" t="s">
        <v>278</v>
      </c>
      <c r="I7" s="24"/>
      <c r="J7" s="25" t="s">
        <v>291</v>
      </c>
      <c r="K7" s="24"/>
    </row>
    <row r="8" spans="1:12" ht="18" customHeight="1" x14ac:dyDescent="0.2">
      <c r="A8" s="2">
        <v>27</v>
      </c>
      <c r="B8" s="3" t="s">
        <v>77</v>
      </c>
      <c r="C8" s="2" t="s">
        <v>78</v>
      </c>
      <c r="D8" s="2" t="s">
        <v>69</v>
      </c>
      <c r="E8" s="3" t="s">
        <v>70</v>
      </c>
      <c r="F8" s="2" t="s">
        <v>17</v>
      </c>
      <c r="G8" s="4" t="s">
        <v>18</v>
      </c>
      <c r="H8" s="2" t="s">
        <v>278</v>
      </c>
      <c r="I8" s="2"/>
      <c r="J8" s="3" t="s">
        <v>291</v>
      </c>
      <c r="K8" s="2"/>
    </row>
    <row r="9" spans="1:12" ht="18" customHeight="1" x14ac:dyDescent="0.2">
      <c r="A9" s="24">
        <v>28</v>
      </c>
      <c r="B9" s="25" t="s">
        <v>79</v>
      </c>
      <c r="C9" s="24" t="s">
        <v>80</v>
      </c>
      <c r="D9" s="24" t="s">
        <v>69</v>
      </c>
      <c r="E9" s="25" t="s">
        <v>70</v>
      </c>
      <c r="F9" s="24" t="s">
        <v>21</v>
      </c>
      <c r="G9" s="4" t="s">
        <v>18</v>
      </c>
      <c r="H9" s="24" t="s">
        <v>278</v>
      </c>
      <c r="I9" s="24"/>
      <c r="J9" s="25" t="s">
        <v>291</v>
      </c>
      <c r="K9" s="24"/>
    </row>
    <row r="10" spans="1:12" ht="18" customHeight="1" x14ac:dyDescent="0.2">
      <c r="A10" s="2">
        <v>29</v>
      </c>
      <c r="B10" s="3" t="s">
        <v>81</v>
      </c>
      <c r="C10" s="2" t="s">
        <v>82</v>
      </c>
      <c r="D10" s="2" t="s">
        <v>69</v>
      </c>
      <c r="E10" s="3" t="s">
        <v>70</v>
      </c>
      <c r="F10" s="2" t="s">
        <v>21</v>
      </c>
      <c r="G10" s="7" t="s">
        <v>24</v>
      </c>
      <c r="H10" s="2"/>
      <c r="I10" s="2"/>
      <c r="J10" s="3"/>
      <c r="K10" s="2"/>
    </row>
    <row r="11" spans="1:12" ht="18" customHeight="1" x14ac:dyDescent="0.2">
      <c r="A11" s="24">
        <v>30</v>
      </c>
      <c r="B11" s="25" t="s">
        <v>83</v>
      </c>
      <c r="C11" s="24" t="s">
        <v>84</v>
      </c>
      <c r="D11" s="24" t="s">
        <v>69</v>
      </c>
      <c r="E11" s="25" t="s">
        <v>70</v>
      </c>
      <c r="F11" s="24" t="s">
        <v>21</v>
      </c>
      <c r="G11" s="4" t="s">
        <v>18</v>
      </c>
      <c r="H11" s="24" t="s">
        <v>278</v>
      </c>
      <c r="I11" s="24"/>
      <c r="J11" s="25" t="s">
        <v>291</v>
      </c>
      <c r="K11" s="24"/>
    </row>
    <row r="12" spans="1:12" ht="18" customHeight="1" x14ac:dyDescent="0.2">
      <c r="A12" s="2">
        <v>31</v>
      </c>
      <c r="B12" s="3" t="s">
        <v>85</v>
      </c>
      <c r="C12" s="2" t="s">
        <v>86</v>
      </c>
      <c r="D12" s="2" t="s">
        <v>69</v>
      </c>
      <c r="E12" s="3" t="s">
        <v>70</v>
      </c>
      <c r="F12" s="2" t="s">
        <v>54</v>
      </c>
      <c r="G12" s="4" t="s">
        <v>18</v>
      </c>
      <c r="H12" s="2"/>
      <c r="I12" s="2"/>
      <c r="J12" s="3"/>
      <c r="K12" s="2"/>
    </row>
    <row r="13" spans="1:12" ht="27.75" customHeight="1" x14ac:dyDescent="0.2">
      <c r="A13" s="24">
        <v>32</v>
      </c>
      <c r="B13" s="25" t="s">
        <v>87</v>
      </c>
      <c r="C13" s="24" t="s">
        <v>88</v>
      </c>
      <c r="D13" s="24" t="s">
        <v>69</v>
      </c>
      <c r="E13" s="25" t="s">
        <v>89</v>
      </c>
      <c r="F13" s="24" t="s">
        <v>21</v>
      </c>
      <c r="G13" s="4" t="s">
        <v>18</v>
      </c>
      <c r="H13" s="24"/>
      <c r="I13" s="24"/>
      <c r="J13" s="25"/>
      <c r="K13" s="24"/>
    </row>
    <row r="14" spans="1:12" ht="27.75" customHeight="1" x14ac:dyDescent="0.2">
      <c r="A14" s="2">
        <v>33</v>
      </c>
      <c r="B14" s="3" t="s">
        <v>90</v>
      </c>
      <c r="C14" s="2" t="s">
        <v>91</v>
      </c>
      <c r="D14" s="2" t="s">
        <v>69</v>
      </c>
      <c r="E14" s="3" t="s">
        <v>89</v>
      </c>
      <c r="F14" s="2" t="s">
        <v>54</v>
      </c>
      <c r="G14" s="4" t="s">
        <v>18</v>
      </c>
      <c r="H14" s="2"/>
      <c r="I14" s="2"/>
      <c r="J14" s="3"/>
      <c r="K14" s="2"/>
    </row>
    <row r="15" spans="1:12" ht="18" customHeight="1" x14ac:dyDescent="0.2">
      <c r="A15" s="24">
        <v>34</v>
      </c>
      <c r="B15" s="25" t="s">
        <v>92</v>
      </c>
      <c r="C15" s="24" t="s">
        <v>93</v>
      </c>
      <c r="D15" s="24" t="s">
        <v>69</v>
      </c>
      <c r="E15" s="25" t="s">
        <v>94</v>
      </c>
      <c r="F15" s="24" t="s">
        <v>17</v>
      </c>
      <c r="G15" s="4" t="s">
        <v>18</v>
      </c>
      <c r="H15" s="24"/>
      <c r="I15" s="24"/>
      <c r="J15" s="25"/>
      <c r="K15" s="24"/>
    </row>
    <row r="16" spans="1:12" ht="18" customHeight="1" x14ac:dyDescent="0.2">
      <c r="A16" s="2">
        <v>35</v>
      </c>
      <c r="B16" s="3" t="s">
        <v>95</v>
      </c>
      <c r="C16" s="2" t="s">
        <v>96</v>
      </c>
      <c r="D16" s="2" t="s">
        <v>69</v>
      </c>
      <c r="E16" s="3" t="s">
        <v>97</v>
      </c>
      <c r="F16" s="2" t="s">
        <v>21</v>
      </c>
      <c r="G16" s="4" t="s">
        <v>18</v>
      </c>
      <c r="H16" s="2"/>
      <c r="I16" s="2"/>
      <c r="J16" s="3"/>
      <c r="K16" s="2"/>
    </row>
    <row r="17" spans="1:11" ht="18" customHeight="1" x14ac:dyDescent="0.2">
      <c r="A17" s="24">
        <v>36</v>
      </c>
      <c r="B17" s="25" t="s">
        <v>98</v>
      </c>
      <c r="C17" s="24" t="s">
        <v>99</v>
      </c>
      <c r="D17" s="24" t="s">
        <v>69</v>
      </c>
      <c r="E17" s="25" t="s">
        <v>97</v>
      </c>
      <c r="F17" s="24" t="s">
        <v>17</v>
      </c>
      <c r="G17" s="4" t="s">
        <v>18</v>
      </c>
      <c r="H17" s="24"/>
      <c r="I17" s="24"/>
      <c r="J17" s="25"/>
      <c r="K17" s="24"/>
    </row>
    <row r="18" spans="1:11" ht="18" customHeight="1" x14ac:dyDescent="0.2">
      <c r="A18" s="2">
        <v>37</v>
      </c>
      <c r="B18" s="3" t="s">
        <v>100</v>
      </c>
      <c r="C18" s="2" t="s">
        <v>101</v>
      </c>
      <c r="D18" s="2" t="s">
        <v>69</v>
      </c>
      <c r="E18" s="3" t="s">
        <v>94</v>
      </c>
      <c r="F18" s="2" t="s">
        <v>21</v>
      </c>
      <c r="G18" s="7" t="s">
        <v>24</v>
      </c>
      <c r="H18" s="2"/>
      <c r="I18" s="2"/>
      <c r="J18" s="3"/>
      <c r="K18" s="2"/>
    </row>
    <row r="19" spans="1:11" ht="18" customHeight="1" x14ac:dyDescent="0.2">
      <c r="A19" s="24">
        <v>38</v>
      </c>
      <c r="B19" s="25" t="s">
        <v>102</v>
      </c>
      <c r="C19" s="24" t="s">
        <v>103</v>
      </c>
      <c r="D19" s="24" t="s">
        <v>69</v>
      </c>
      <c r="E19" s="25" t="s">
        <v>94</v>
      </c>
      <c r="F19" s="24" t="s">
        <v>54</v>
      </c>
      <c r="G19" s="7" t="s">
        <v>24</v>
      </c>
      <c r="H19" s="24"/>
      <c r="I19" s="24"/>
      <c r="J19" s="25"/>
      <c r="K19" s="24"/>
    </row>
    <row r="20" spans="1:11" ht="18" customHeight="1" x14ac:dyDescent="0.2">
      <c r="A20" s="2">
        <v>39</v>
      </c>
      <c r="B20" s="3" t="s">
        <v>104</v>
      </c>
      <c r="C20" s="2" t="s">
        <v>105</v>
      </c>
      <c r="D20" s="2" t="s">
        <v>69</v>
      </c>
      <c r="E20" s="3" t="s">
        <v>94</v>
      </c>
      <c r="F20" s="2" t="s">
        <v>54</v>
      </c>
      <c r="G20" s="7" t="s">
        <v>24</v>
      </c>
      <c r="H20" s="2"/>
      <c r="I20" s="2"/>
      <c r="J20" s="3"/>
      <c r="K20" s="2"/>
    </row>
    <row r="21" spans="1:11" ht="18" customHeight="1" x14ac:dyDescent="0.2">
      <c r="A21" s="24">
        <v>40</v>
      </c>
      <c r="B21" s="25" t="s">
        <v>106</v>
      </c>
      <c r="C21" s="24" t="s">
        <v>107</v>
      </c>
      <c r="D21" s="24" t="s">
        <v>69</v>
      </c>
      <c r="E21" s="25" t="s">
        <v>108</v>
      </c>
      <c r="F21" s="24" t="s">
        <v>54</v>
      </c>
      <c r="G21" s="4" t="s">
        <v>18</v>
      </c>
      <c r="H21" s="24"/>
      <c r="I21" s="24"/>
      <c r="J21" s="25"/>
      <c r="K21" s="24"/>
    </row>
    <row r="22" spans="1:11" ht="18" customHeight="1" x14ac:dyDescent="0.2">
      <c r="A22" s="2">
        <v>41</v>
      </c>
      <c r="B22" s="3" t="s">
        <v>109</v>
      </c>
      <c r="C22" s="2" t="s">
        <v>110</v>
      </c>
      <c r="D22" s="2" t="s">
        <v>69</v>
      </c>
      <c r="E22" s="3" t="s">
        <v>111</v>
      </c>
      <c r="F22" s="2" t="s">
        <v>54</v>
      </c>
      <c r="G22" s="7" t="s">
        <v>24</v>
      </c>
      <c r="H22" s="2"/>
      <c r="I22" s="2"/>
      <c r="J22" s="3"/>
      <c r="K22" s="2"/>
    </row>
    <row r="23" spans="1:11" ht="18" customHeight="1" x14ac:dyDescent="0.2">
      <c r="A23" s="24">
        <v>42</v>
      </c>
      <c r="B23" s="25" t="s">
        <v>112</v>
      </c>
      <c r="C23" s="24" t="s">
        <v>113</v>
      </c>
      <c r="D23" s="24" t="s">
        <v>69</v>
      </c>
      <c r="E23" s="25" t="s">
        <v>111</v>
      </c>
      <c r="F23" s="24" t="s">
        <v>21</v>
      </c>
      <c r="G23" s="7" t="s">
        <v>24</v>
      </c>
      <c r="H23" s="24"/>
      <c r="I23" s="24"/>
      <c r="J23" s="25"/>
      <c r="K23" s="24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zoomScale="160" zoomScaleNormal="160" workbookViewId="0">
      <pane ySplit="3" topLeftCell="A4" activePane="bottomLeft" state="frozen"/>
      <selection pane="bottomLeft" activeCell="B10" sqref="B10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</cols>
  <sheetData>
    <row r="1" spans="1:11" ht="30" customHeight="1" x14ac:dyDescent="0.2">
      <c r="A1" s="52" t="s">
        <v>257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18" customHeight="1" x14ac:dyDescent="0.2">
      <c r="A2" s="53" t="s">
        <v>258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ht="21.75" customHeight="1" x14ac:dyDescent="0.2">
      <c r="A3" s="26" t="s">
        <v>2</v>
      </c>
      <c r="B3" s="26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</row>
    <row r="4" spans="1:11" ht="42" x14ac:dyDescent="0.2">
      <c r="A4" s="2">
        <v>43</v>
      </c>
      <c r="B4" s="3" t="s">
        <v>114</v>
      </c>
      <c r="C4" s="2" t="s">
        <v>115</v>
      </c>
      <c r="D4" s="2" t="s">
        <v>116</v>
      </c>
      <c r="E4" s="3" t="s">
        <v>117</v>
      </c>
      <c r="F4" s="2" t="s">
        <v>54</v>
      </c>
      <c r="G4" s="4" t="s">
        <v>18</v>
      </c>
      <c r="H4" s="2" t="s">
        <v>268</v>
      </c>
      <c r="I4" s="2" t="s">
        <v>278</v>
      </c>
      <c r="J4" s="3" t="s">
        <v>307</v>
      </c>
      <c r="K4" s="2" t="s">
        <v>309</v>
      </c>
    </row>
    <row r="5" spans="1:11" ht="28" x14ac:dyDescent="0.2">
      <c r="A5" s="27">
        <v>44</v>
      </c>
      <c r="B5" s="28" t="s">
        <v>118</v>
      </c>
      <c r="C5" s="27" t="s">
        <v>119</v>
      </c>
      <c r="D5" s="27" t="s">
        <v>116</v>
      </c>
      <c r="E5" s="28" t="s">
        <v>117</v>
      </c>
      <c r="F5" s="27" t="s">
        <v>21</v>
      </c>
      <c r="G5" s="4" t="s">
        <v>18</v>
      </c>
      <c r="H5" s="27" t="s">
        <v>268</v>
      </c>
      <c r="I5" s="27" t="s">
        <v>278</v>
      </c>
      <c r="J5" s="28" t="s">
        <v>308</v>
      </c>
      <c r="K5" s="27"/>
    </row>
    <row r="6" spans="1:11" ht="27.75" customHeight="1" x14ac:dyDescent="0.2">
      <c r="A6" s="2">
        <v>45</v>
      </c>
      <c r="B6" s="3" t="s">
        <v>120</v>
      </c>
      <c r="C6" s="2" t="s">
        <v>121</v>
      </c>
      <c r="D6" s="2" t="s">
        <v>116</v>
      </c>
      <c r="E6" s="3" t="s">
        <v>117</v>
      </c>
      <c r="F6" s="2" t="s">
        <v>17</v>
      </c>
      <c r="G6" s="4" t="s">
        <v>18</v>
      </c>
      <c r="H6" s="2" t="s">
        <v>268</v>
      </c>
      <c r="I6" s="2" t="s">
        <v>278</v>
      </c>
      <c r="J6" s="3" t="s">
        <v>311</v>
      </c>
      <c r="K6" s="2"/>
    </row>
    <row r="7" spans="1:11" ht="27.75" customHeight="1" x14ac:dyDescent="0.2">
      <c r="A7" s="27">
        <v>46</v>
      </c>
      <c r="B7" s="28" t="s">
        <v>122</v>
      </c>
      <c r="C7" s="27" t="s">
        <v>123</v>
      </c>
      <c r="D7" s="27" t="s">
        <v>116</v>
      </c>
      <c r="E7" s="28" t="s">
        <v>117</v>
      </c>
      <c r="F7" s="27" t="s">
        <v>21</v>
      </c>
      <c r="G7" s="4" t="s">
        <v>18</v>
      </c>
      <c r="H7" s="27" t="s">
        <v>268</v>
      </c>
      <c r="I7" s="27" t="s">
        <v>278</v>
      </c>
      <c r="J7" s="28" t="s">
        <v>311</v>
      </c>
      <c r="K7" s="27"/>
    </row>
    <row r="8" spans="1:11" ht="27.75" customHeight="1" x14ac:dyDescent="0.2">
      <c r="A8" s="2">
        <v>47</v>
      </c>
      <c r="B8" s="3" t="s">
        <v>124</v>
      </c>
      <c r="C8" s="2" t="s">
        <v>125</v>
      </c>
      <c r="D8" s="2" t="s">
        <v>116</v>
      </c>
      <c r="E8" s="3" t="s">
        <v>117</v>
      </c>
      <c r="F8" s="2" t="s">
        <v>21</v>
      </c>
      <c r="G8" s="4" t="s">
        <v>18</v>
      </c>
      <c r="H8" s="2" t="s">
        <v>278</v>
      </c>
      <c r="I8" s="2" t="s">
        <v>278</v>
      </c>
      <c r="J8" s="3" t="s">
        <v>311</v>
      </c>
      <c r="K8" s="2"/>
    </row>
    <row r="9" spans="1:11" ht="28" x14ac:dyDescent="0.2">
      <c r="A9" s="27">
        <v>48</v>
      </c>
      <c r="B9" s="28" t="s">
        <v>126</v>
      </c>
      <c r="C9" s="27" t="s">
        <v>127</v>
      </c>
      <c r="D9" s="27" t="s">
        <v>116</v>
      </c>
      <c r="E9" s="28" t="s">
        <v>117</v>
      </c>
      <c r="F9" s="27" t="s">
        <v>17</v>
      </c>
      <c r="G9" s="4" t="s">
        <v>18</v>
      </c>
      <c r="H9" s="27" t="s">
        <v>268</v>
      </c>
      <c r="I9" s="27" t="s">
        <v>278</v>
      </c>
      <c r="J9" s="28" t="s">
        <v>312</v>
      </c>
      <c r="K9" s="27"/>
    </row>
    <row r="10" spans="1:11" ht="27.75" customHeight="1" x14ac:dyDescent="0.2">
      <c r="A10" s="2">
        <v>49</v>
      </c>
      <c r="B10" s="3" t="s">
        <v>128</v>
      </c>
      <c r="C10" s="2" t="s">
        <v>129</v>
      </c>
      <c r="D10" s="2" t="s">
        <v>116</v>
      </c>
      <c r="E10" s="3" t="s">
        <v>117</v>
      </c>
      <c r="F10" s="2" t="s">
        <v>17</v>
      </c>
      <c r="G10" s="4" t="s">
        <v>18</v>
      </c>
      <c r="H10" s="2"/>
      <c r="I10" s="2"/>
      <c r="J10" s="3"/>
      <c r="K10" s="2"/>
    </row>
    <row r="11" spans="1:11" ht="18" customHeight="1" x14ac:dyDescent="0.2">
      <c r="A11" s="27">
        <v>50</v>
      </c>
      <c r="B11" s="28" t="s">
        <v>130</v>
      </c>
      <c r="C11" s="27" t="s">
        <v>131</v>
      </c>
      <c r="D11" s="27" t="s">
        <v>116</v>
      </c>
      <c r="E11" s="28" t="s">
        <v>117</v>
      </c>
      <c r="F11" s="27" t="s">
        <v>17</v>
      </c>
      <c r="G11" s="4" t="s">
        <v>18</v>
      </c>
      <c r="H11" s="27"/>
      <c r="I11" s="27"/>
      <c r="J11" s="28"/>
      <c r="K11" s="27"/>
    </row>
    <row r="12" spans="1:11" ht="18" customHeight="1" x14ac:dyDescent="0.2">
      <c r="A12" s="2">
        <v>51</v>
      </c>
      <c r="B12" s="3" t="s">
        <v>132</v>
      </c>
      <c r="C12" s="2" t="s">
        <v>133</v>
      </c>
      <c r="D12" s="2" t="s">
        <v>116</v>
      </c>
      <c r="E12" s="3" t="s">
        <v>117</v>
      </c>
      <c r="F12" s="2" t="s">
        <v>21</v>
      </c>
      <c r="G12" s="7" t="s">
        <v>24</v>
      </c>
      <c r="H12" s="2"/>
      <c r="I12" s="2"/>
      <c r="J12" s="3"/>
      <c r="K12" s="2"/>
    </row>
    <row r="13" spans="1:11" ht="18" customHeight="1" x14ac:dyDescent="0.2">
      <c r="A13" s="27">
        <v>52</v>
      </c>
      <c r="B13" s="28" t="s">
        <v>134</v>
      </c>
      <c r="C13" s="27" t="s">
        <v>135</v>
      </c>
      <c r="D13" s="27" t="s">
        <v>116</v>
      </c>
      <c r="E13" s="28" t="s">
        <v>117</v>
      </c>
      <c r="F13" s="27" t="s">
        <v>21</v>
      </c>
      <c r="G13" s="4" t="s">
        <v>18</v>
      </c>
      <c r="H13" s="27"/>
      <c r="I13" s="27"/>
      <c r="J13" s="28"/>
      <c r="K13" s="27"/>
    </row>
    <row r="14" spans="1:11" ht="18" customHeight="1" x14ac:dyDescent="0.2">
      <c r="A14" s="2">
        <v>53</v>
      </c>
      <c r="B14" s="3" t="s">
        <v>136</v>
      </c>
      <c r="C14" s="2" t="s">
        <v>137</v>
      </c>
      <c r="D14" s="2" t="s">
        <v>116</v>
      </c>
      <c r="E14" s="3" t="s">
        <v>117</v>
      </c>
      <c r="F14" s="2" t="s">
        <v>17</v>
      </c>
      <c r="G14" s="4" t="s">
        <v>18</v>
      </c>
      <c r="H14" s="2"/>
      <c r="I14" s="2"/>
      <c r="J14" s="3"/>
      <c r="K14" s="2"/>
    </row>
    <row r="15" spans="1:11" ht="27.75" customHeight="1" x14ac:dyDescent="0.2">
      <c r="A15" s="27">
        <v>54</v>
      </c>
      <c r="B15" s="28" t="s">
        <v>138</v>
      </c>
      <c r="C15" s="27" t="s">
        <v>139</v>
      </c>
      <c r="D15" s="27" t="s">
        <v>116</v>
      </c>
      <c r="E15" s="28" t="s">
        <v>140</v>
      </c>
      <c r="F15" s="27" t="s">
        <v>21</v>
      </c>
      <c r="G15" s="4" t="s">
        <v>18</v>
      </c>
      <c r="H15" s="27"/>
      <c r="I15" s="27"/>
      <c r="J15" s="28"/>
      <c r="K15" s="27"/>
    </row>
    <row r="16" spans="1:11" ht="18" customHeight="1" x14ac:dyDescent="0.2">
      <c r="A16" s="2">
        <v>55</v>
      </c>
      <c r="B16" s="3" t="s">
        <v>141</v>
      </c>
      <c r="C16" s="2" t="s">
        <v>142</v>
      </c>
      <c r="D16" s="2" t="s">
        <v>116</v>
      </c>
      <c r="E16" s="3" t="s">
        <v>143</v>
      </c>
      <c r="F16" s="2" t="s">
        <v>54</v>
      </c>
      <c r="G16" s="4" t="s">
        <v>18</v>
      </c>
      <c r="H16" s="2"/>
      <c r="I16" s="2"/>
      <c r="J16" s="3"/>
      <c r="K16" s="2"/>
    </row>
    <row r="17" spans="1:11" ht="27.75" customHeight="1" x14ac:dyDescent="0.2">
      <c r="A17" s="27">
        <v>56</v>
      </c>
      <c r="B17" s="28" t="s">
        <v>144</v>
      </c>
      <c r="C17" s="27" t="s">
        <v>145</v>
      </c>
      <c r="D17" s="27" t="s">
        <v>116</v>
      </c>
      <c r="E17" s="28" t="s">
        <v>146</v>
      </c>
      <c r="F17" s="27" t="s">
        <v>21</v>
      </c>
      <c r="G17" s="4" t="s">
        <v>18</v>
      </c>
      <c r="H17" s="27"/>
      <c r="I17" s="27"/>
      <c r="J17" s="28"/>
      <c r="K17" s="27"/>
    </row>
    <row r="18" spans="1:11" ht="18" customHeight="1" x14ac:dyDescent="0.2">
      <c r="A18" s="2">
        <v>57</v>
      </c>
      <c r="B18" s="3" t="s">
        <v>147</v>
      </c>
      <c r="C18" s="2" t="s">
        <v>148</v>
      </c>
      <c r="D18" s="2" t="s">
        <v>116</v>
      </c>
      <c r="E18" s="3" t="s">
        <v>146</v>
      </c>
      <c r="F18" s="2" t="s">
        <v>17</v>
      </c>
      <c r="G18" s="4" t="s">
        <v>18</v>
      </c>
      <c r="H18" s="2"/>
      <c r="I18" s="2"/>
      <c r="J18" s="3"/>
      <c r="K18" s="2"/>
    </row>
    <row r="19" spans="1:11" ht="18" customHeight="1" x14ac:dyDescent="0.2">
      <c r="A19" s="27">
        <v>58</v>
      </c>
      <c r="B19" s="28" t="s">
        <v>149</v>
      </c>
      <c r="C19" s="27" t="s">
        <v>150</v>
      </c>
      <c r="D19" s="27" t="s">
        <v>116</v>
      </c>
      <c r="E19" s="28" t="s">
        <v>143</v>
      </c>
      <c r="F19" s="27" t="s">
        <v>54</v>
      </c>
      <c r="G19" s="4" t="s">
        <v>18</v>
      </c>
      <c r="H19" s="27"/>
      <c r="I19" s="27"/>
      <c r="J19" s="28"/>
      <c r="K19" s="27"/>
    </row>
    <row r="20" spans="1:11" ht="18" customHeight="1" x14ac:dyDescent="0.2">
      <c r="A20" s="2">
        <v>59</v>
      </c>
      <c r="B20" s="3" t="s">
        <v>151</v>
      </c>
      <c r="C20" s="2" t="s">
        <v>152</v>
      </c>
      <c r="D20" s="2" t="s">
        <v>116</v>
      </c>
      <c r="E20" s="3" t="s">
        <v>143</v>
      </c>
      <c r="F20" s="2" t="s">
        <v>21</v>
      </c>
      <c r="G20" s="7" t="s">
        <v>24</v>
      </c>
      <c r="H20" s="2"/>
      <c r="I20" s="2"/>
      <c r="J20" s="3"/>
      <c r="K20" s="2"/>
    </row>
    <row r="21" spans="1:11" ht="18" customHeight="1" x14ac:dyDescent="0.2">
      <c r="A21" s="27">
        <v>60</v>
      </c>
      <c r="B21" s="28" t="s">
        <v>153</v>
      </c>
      <c r="C21" s="27" t="s">
        <v>154</v>
      </c>
      <c r="D21" s="27" t="s">
        <v>116</v>
      </c>
      <c r="E21" s="28" t="s">
        <v>146</v>
      </c>
      <c r="F21" s="27" t="s">
        <v>54</v>
      </c>
      <c r="G21" s="4" t="s">
        <v>18</v>
      </c>
      <c r="H21" s="27"/>
      <c r="I21" s="27"/>
      <c r="J21" s="28"/>
      <c r="K21" s="27"/>
    </row>
    <row r="22" spans="1:11" ht="18" customHeight="1" x14ac:dyDescent="0.2">
      <c r="A22" s="2">
        <v>61</v>
      </c>
      <c r="B22" s="3" t="s">
        <v>155</v>
      </c>
      <c r="C22" s="2" t="s">
        <v>156</v>
      </c>
      <c r="D22" s="2" t="s">
        <v>116</v>
      </c>
      <c r="E22" s="3" t="s">
        <v>143</v>
      </c>
      <c r="F22" s="2" t="s">
        <v>54</v>
      </c>
      <c r="G22" s="7" t="s">
        <v>24</v>
      </c>
      <c r="H22" s="2"/>
      <c r="I22" s="2"/>
      <c r="J22" s="3"/>
      <c r="K22" s="2"/>
    </row>
    <row r="23" spans="1:11" ht="18" customHeight="1" x14ac:dyDescent="0.2">
      <c r="A23" s="27">
        <v>62</v>
      </c>
      <c r="B23" s="28" t="s">
        <v>157</v>
      </c>
      <c r="C23" s="27" t="s">
        <v>158</v>
      </c>
      <c r="D23" s="27" t="s">
        <v>116</v>
      </c>
      <c r="E23" s="28" t="s">
        <v>159</v>
      </c>
      <c r="F23" s="27" t="s">
        <v>17</v>
      </c>
      <c r="G23" s="4" t="s">
        <v>18</v>
      </c>
      <c r="H23" s="27"/>
      <c r="I23" s="27"/>
      <c r="J23" s="28"/>
      <c r="K23" s="27"/>
    </row>
    <row r="24" spans="1:11" ht="18" customHeight="1" x14ac:dyDescent="0.2">
      <c r="A24" s="2">
        <v>63</v>
      </c>
      <c r="B24" s="3" t="s">
        <v>160</v>
      </c>
      <c r="C24" s="2" t="s">
        <v>161</v>
      </c>
      <c r="D24" s="2" t="s">
        <v>116</v>
      </c>
      <c r="E24" s="3" t="s">
        <v>159</v>
      </c>
      <c r="F24" s="2" t="s">
        <v>54</v>
      </c>
      <c r="G24" s="4" t="s">
        <v>18</v>
      </c>
      <c r="H24" s="2"/>
      <c r="I24" s="2"/>
      <c r="J24" s="3"/>
      <c r="K24" s="2"/>
    </row>
    <row r="25" spans="1:11" ht="18" customHeight="1" x14ac:dyDescent="0.2">
      <c r="A25" s="27">
        <v>64</v>
      </c>
      <c r="B25" s="28" t="s">
        <v>162</v>
      </c>
      <c r="C25" s="27" t="s">
        <v>163</v>
      </c>
      <c r="D25" s="27" t="s">
        <v>116</v>
      </c>
      <c r="E25" s="28" t="s">
        <v>159</v>
      </c>
      <c r="F25" s="27" t="s">
        <v>54</v>
      </c>
      <c r="G25" s="4" t="s">
        <v>18</v>
      </c>
      <c r="H25" s="27"/>
      <c r="I25" s="27"/>
      <c r="J25" s="28"/>
      <c r="K25" s="27"/>
    </row>
    <row r="26" spans="1:11" ht="18" customHeight="1" x14ac:dyDescent="0.2">
      <c r="A26" s="2">
        <v>65</v>
      </c>
      <c r="B26" s="3" t="s">
        <v>164</v>
      </c>
      <c r="C26" s="2" t="s">
        <v>165</v>
      </c>
      <c r="D26" s="2" t="s">
        <v>116</v>
      </c>
      <c r="E26" s="3" t="s">
        <v>159</v>
      </c>
      <c r="F26" s="2" t="s">
        <v>54</v>
      </c>
      <c r="G26" s="7" t="s">
        <v>24</v>
      </c>
      <c r="H26" s="2"/>
      <c r="I26" s="2"/>
      <c r="J26" s="3"/>
      <c r="K26" s="2"/>
    </row>
    <row r="27" spans="1:11" ht="18" customHeight="1" x14ac:dyDescent="0.2">
      <c r="A27" s="27">
        <v>66</v>
      </c>
      <c r="B27" s="28" t="s">
        <v>166</v>
      </c>
      <c r="C27" s="27" t="s">
        <v>167</v>
      </c>
      <c r="D27" s="27" t="s">
        <v>116</v>
      </c>
      <c r="E27" s="28" t="s">
        <v>159</v>
      </c>
      <c r="F27" s="27" t="s">
        <v>17</v>
      </c>
      <c r="G27" s="4" t="s">
        <v>18</v>
      </c>
      <c r="H27" s="27"/>
      <c r="I27" s="27"/>
      <c r="J27" s="28"/>
      <c r="K27" s="27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"/>
  <sheetViews>
    <sheetView tabSelected="1" zoomScale="130" zoomScaleNormal="130" workbookViewId="0">
      <pane ySplit="3" topLeftCell="A16" activePane="bottomLeft" state="frozen"/>
      <selection pane="bottomLeft" activeCell="C9" sqref="C9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  <col min="12" max="12" width="12.33203125" bestFit="1" customWidth="1"/>
    <col min="13" max="13" width="13.33203125" bestFit="1" customWidth="1"/>
  </cols>
  <sheetData>
    <row r="1" spans="1:14" ht="30" customHeight="1" x14ac:dyDescent="0.2">
      <c r="A1" s="57" t="s">
        <v>259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4" ht="18" customHeight="1" x14ac:dyDescent="0.2">
      <c r="A2" s="58" t="s">
        <v>260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4" ht="28" x14ac:dyDescent="0.2">
      <c r="A3" s="29" t="s">
        <v>2</v>
      </c>
      <c r="B3" s="29" t="s">
        <v>3</v>
      </c>
      <c r="C3" s="29" t="s">
        <v>4</v>
      </c>
      <c r="D3" s="29" t="s">
        <v>5</v>
      </c>
      <c r="E3" s="29" t="s">
        <v>6</v>
      </c>
      <c r="F3" s="29" t="s">
        <v>7</v>
      </c>
      <c r="G3" s="29" t="s">
        <v>8</v>
      </c>
      <c r="H3" s="29" t="s">
        <v>9</v>
      </c>
      <c r="I3" s="29" t="s">
        <v>10</v>
      </c>
      <c r="J3" s="29" t="s">
        <v>11</v>
      </c>
      <c r="K3" s="29" t="s">
        <v>12</v>
      </c>
      <c r="L3" s="56" t="s">
        <v>272</v>
      </c>
      <c r="M3" s="55"/>
      <c r="N3" s="59" t="s">
        <v>316</v>
      </c>
    </row>
    <row r="4" spans="1:14" ht="15.75" customHeight="1" x14ac:dyDescent="0.2">
      <c r="A4" s="54" t="s">
        <v>261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t="s">
        <v>273</v>
      </c>
      <c r="M4" t="s">
        <v>274</v>
      </c>
    </row>
    <row r="5" spans="1:14" ht="42" x14ac:dyDescent="0.2">
      <c r="A5" s="11">
        <v>67</v>
      </c>
      <c r="B5" s="12" t="s">
        <v>173</v>
      </c>
      <c r="C5" s="11" t="s">
        <v>174</v>
      </c>
      <c r="D5" s="13" t="s">
        <v>175</v>
      </c>
      <c r="E5" s="30" t="s">
        <v>176</v>
      </c>
      <c r="F5" s="11" t="s">
        <v>21</v>
      </c>
      <c r="G5" s="14" t="s">
        <v>18</v>
      </c>
      <c r="H5" s="11" t="s">
        <v>268</v>
      </c>
      <c r="I5" s="11" t="s">
        <v>278</v>
      </c>
      <c r="J5" s="12" t="s">
        <v>269</v>
      </c>
      <c r="K5" s="11" t="s">
        <v>314</v>
      </c>
      <c r="L5" s="35" t="s">
        <v>271</v>
      </c>
      <c r="M5" s="35" t="s">
        <v>275</v>
      </c>
    </row>
    <row r="6" spans="1:14" x14ac:dyDescent="0.2">
      <c r="A6" s="15">
        <v>68</v>
      </c>
      <c r="B6" s="16" t="s">
        <v>177</v>
      </c>
      <c r="C6" s="15" t="s">
        <v>178</v>
      </c>
      <c r="D6" s="13" t="s">
        <v>175</v>
      </c>
      <c r="E6" s="31" t="s">
        <v>179</v>
      </c>
      <c r="F6" s="15" t="s">
        <v>21</v>
      </c>
      <c r="G6" s="39" t="s">
        <v>298</v>
      </c>
      <c r="H6" s="15" t="s">
        <v>268</v>
      </c>
      <c r="I6" s="15" t="s">
        <v>278</v>
      </c>
      <c r="J6" s="16" t="s">
        <v>279</v>
      </c>
      <c r="K6" s="15"/>
    </row>
    <row r="7" spans="1:14" ht="28" x14ac:dyDescent="0.2">
      <c r="A7" s="11">
        <v>69</v>
      </c>
      <c r="B7" s="12" t="s">
        <v>180</v>
      </c>
      <c r="C7" s="11" t="s">
        <v>181</v>
      </c>
      <c r="D7" s="13" t="s">
        <v>175</v>
      </c>
      <c r="E7" s="30" t="s">
        <v>182</v>
      </c>
      <c r="F7" s="11" t="s">
        <v>54</v>
      </c>
      <c r="G7" s="14" t="s">
        <v>18</v>
      </c>
      <c r="H7" s="11" t="s">
        <v>268</v>
      </c>
      <c r="I7" s="11" t="s">
        <v>278</v>
      </c>
      <c r="J7" s="12" t="s">
        <v>281</v>
      </c>
      <c r="K7" s="11" t="s">
        <v>313</v>
      </c>
      <c r="M7" s="38" t="s">
        <v>286</v>
      </c>
    </row>
    <row r="8" spans="1:14" ht="28" x14ac:dyDescent="0.2">
      <c r="A8" s="15">
        <v>70</v>
      </c>
      <c r="B8" s="16" t="s">
        <v>183</v>
      </c>
      <c r="C8" s="15" t="s">
        <v>184</v>
      </c>
      <c r="D8" s="13" t="s">
        <v>175</v>
      </c>
      <c r="E8" s="31" t="s">
        <v>185</v>
      </c>
      <c r="F8" s="15" t="s">
        <v>21</v>
      </c>
      <c r="G8" s="14" t="s">
        <v>18</v>
      </c>
      <c r="H8" s="15" t="s">
        <v>268</v>
      </c>
      <c r="I8" s="15" t="s">
        <v>278</v>
      </c>
      <c r="J8" s="16" t="s">
        <v>282</v>
      </c>
      <c r="K8" s="15" t="s">
        <v>313</v>
      </c>
      <c r="L8" s="37" t="s">
        <v>283</v>
      </c>
    </row>
    <row r="9" spans="1:14" ht="70" x14ac:dyDescent="0.2">
      <c r="A9" s="11">
        <v>71</v>
      </c>
      <c r="B9" s="12" t="s">
        <v>186</v>
      </c>
      <c r="C9" s="11" t="s">
        <v>187</v>
      </c>
      <c r="D9" s="13" t="s">
        <v>175</v>
      </c>
      <c r="E9" s="30" t="s">
        <v>179</v>
      </c>
      <c r="F9" s="11" t="s">
        <v>54</v>
      </c>
      <c r="G9" s="14" t="s">
        <v>18</v>
      </c>
      <c r="H9" s="11" t="s">
        <v>268</v>
      </c>
      <c r="I9" s="11" t="s">
        <v>278</v>
      </c>
      <c r="J9" s="12" t="s">
        <v>284</v>
      </c>
      <c r="K9" s="11" t="s">
        <v>314</v>
      </c>
      <c r="L9" s="35" t="s">
        <v>315</v>
      </c>
    </row>
    <row r="10" spans="1:14" ht="42" x14ac:dyDescent="0.2">
      <c r="A10" s="15">
        <v>72</v>
      </c>
      <c r="B10" s="16" t="s">
        <v>188</v>
      </c>
      <c r="C10" s="15" t="s">
        <v>189</v>
      </c>
      <c r="D10" s="13" t="s">
        <v>175</v>
      </c>
      <c r="E10" s="31" t="s">
        <v>190</v>
      </c>
      <c r="F10" s="15" t="s">
        <v>191</v>
      </c>
      <c r="G10" s="14" t="s">
        <v>18</v>
      </c>
      <c r="H10" s="15" t="s">
        <v>268</v>
      </c>
      <c r="I10" s="15" t="s">
        <v>278</v>
      </c>
      <c r="J10" s="16" t="s">
        <v>287</v>
      </c>
      <c r="K10" s="15" t="s">
        <v>313</v>
      </c>
      <c r="L10" s="37" t="s">
        <v>285</v>
      </c>
    </row>
    <row r="11" spans="1:14" ht="42" x14ac:dyDescent="0.2">
      <c r="A11" s="11">
        <v>73</v>
      </c>
      <c r="B11" s="12" t="s">
        <v>192</v>
      </c>
      <c r="C11" s="11" t="s">
        <v>193</v>
      </c>
      <c r="D11" s="13" t="s">
        <v>175</v>
      </c>
      <c r="E11" s="30" t="s">
        <v>194</v>
      </c>
      <c r="F11" s="11" t="s">
        <v>21</v>
      </c>
      <c r="G11" s="14" t="s">
        <v>18</v>
      </c>
      <c r="H11" s="11" t="s">
        <v>268</v>
      </c>
      <c r="I11" s="11" t="s">
        <v>278</v>
      </c>
      <c r="J11" s="12" t="s">
        <v>288</v>
      </c>
      <c r="K11" s="11"/>
      <c r="L11" s="35" t="s">
        <v>289</v>
      </c>
    </row>
    <row r="12" spans="1:14" ht="18" customHeight="1" x14ac:dyDescent="0.2">
      <c r="A12" s="60">
        <v>74</v>
      </c>
      <c r="B12" s="61" t="s">
        <v>195</v>
      </c>
      <c r="C12" s="60" t="s">
        <v>292</v>
      </c>
      <c r="D12" s="62" t="s">
        <v>175</v>
      </c>
      <c r="E12" s="63" t="s">
        <v>179</v>
      </c>
      <c r="F12" s="60" t="s">
        <v>191</v>
      </c>
      <c r="G12" s="64" t="s">
        <v>18</v>
      </c>
      <c r="H12" s="60" t="s">
        <v>268</v>
      </c>
      <c r="I12" s="60" t="s">
        <v>278</v>
      </c>
      <c r="J12" s="61" t="s">
        <v>293</v>
      </c>
      <c r="K12" s="60"/>
      <c r="L12" s="65"/>
    </row>
    <row r="13" spans="1:14" ht="18" customHeight="1" x14ac:dyDescent="0.2">
      <c r="A13" s="60">
        <v>75</v>
      </c>
      <c r="B13" s="61" t="s">
        <v>197</v>
      </c>
      <c r="C13" s="60" t="s">
        <v>198</v>
      </c>
      <c r="D13" s="62" t="s">
        <v>175</v>
      </c>
      <c r="E13" s="63" t="s">
        <v>179</v>
      </c>
      <c r="F13" s="60" t="s">
        <v>21</v>
      </c>
      <c r="G13" s="66" t="s">
        <v>24</v>
      </c>
      <c r="H13" s="60" t="s">
        <v>278</v>
      </c>
      <c r="I13" s="60" t="s">
        <v>278</v>
      </c>
      <c r="J13" s="61" t="s">
        <v>317</v>
      </c>
      <c r="K13" s="60"/>
      <c r="L13" s="65"/>
    </row>
    <row r="14" spans="1:14" ht="42" x14ac:dyDescent="0.2">
      <c r="A14" s="15">
        <v>76</v>
      </c>
      <c r="B14" s="16" t="s">
        <v>199</v>
      </c>
      <c r="C14" s="15" t="s">
        <v>200</v>
      </c>
      <c r="D14" s="13" t="s">
        <v>175</v>
      </c>
      <c r="E14" s="31" t="s">
        <v>201</v>
      </c>
      <c r="F14" s="15" t="s">
        <v>17</v>
      </c>
      <c r="G14" s="14" t="s">
        <v>18</v>
      </c>
      <c r="H14" s="15" t="s">
        <v>268</v>
      </c>
      <c r="I14" s="15" t="s">
        <v>278</v>
      </c>
      <c r="J14" s="16" t="s">
        <v>294</v>
      </c>
      <c r="K14" s="15" t="s">
        <v>318</v>
      </c>
    </row>
    <row r="15" spans="1:14" ht="18" customHeight="1" x14ac:dyDescent="0.2">
      <c r="A15" s="11">
        <v>77</v>
      </c>
      <c r="B15" s="12" t="s">
        <v>202</v>
      </c>
      <c r="C15" s="11" t="s">
        <v>295</v>
      </c>
      <c r="D15" s="13" t="s">
        <v>175</v>
      </c>
      <c r="E15" s="30" t="s">
        <v>204</v>
      </c>
      <c r="F15" s="11" t="s">
        <v>21</v>
      </c>
      <c r="G15" s="14" t="s">
        <v>18</v>
      </c>
      <c r="H15" s="11" t="s">
        <v>268</v>
      </c>
      <c r="I15" s="11" t="s">
        <v>278</v>
      </c>
      <c r="J15" s="12" t="s">
        <v>294</v>
      </c>
      <c r="K15" s="11"/>
    </row>
    <row r="16" spans="1:14" ht="70" x14ac:dyDescent="0.2">
      <c r="A16" s="15">
        <v>78</v>
      </c>
      <c r="B16" s="16" t="s">
        <v>205</v>
      </c>
      <c r="C16" s="15" t="s">
        <v>296</v>
      </c>
      <c r="D16" s="13" t="s">
        <v>175</v>
      </c>
      <c r="E16" s="31" t="s">
        <v>207</v>
      </c>
      <c r="F16" s="15" t="s">
        <v>21</v>
      </c>
      <c r="G16" s="14" t="s">
        <v>18</v>
      </c>
      <c r="H16" s="15" t="s">
        <v>268</v>
      </c>
      <c r="I16" s="15" t="s">
        <v>278</v>
      </c>
      <c r="J16" s="16" t="s">
        <v>297</v>
      </c>
      <c r="K16" s="15"/>
      <c r="L16" s="37" t="s">
        <v>280</v>
      </c>
    </row>
    <row r="17" spans="1:12" ht="15.75" customHeight="1" x14ac:dyDescent="0.2">
      <c r="A17" s="54" t="s">
        <v>262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</row>
    <row r="18" spans="1:12" ht="18" customHeight="1" x14ac:dyDescent="0.2">
      <c r="A18" s="11">
        <v>79</v>
      </c>
      <c r="B18" s="12" t="s">
        <v>208</v>
      </c>
      <c r="C18" s="11" t="s">
        <v>209</v>
      </c>
      <c r="D18" s="13" t="s">
        <v>175</v>
      </c>
      <c r="E18" s="30" t="s">
        <v>210</v>
      </c>
      <c r="F18" s="11" t="s">
        <v>21</v>
      </c>
      <c r="G18" s="14" t="s">
        <v>18</v>
      </c>
      <c r="H18" s="11" t="s">
        <v>268</v>
      </c>
      <c r="I18" s="11"/>
      <c r="J18" s="12" t="s">
        <v>277</v>
      </c>
      <c r="K18" s="11"/>
      <c r="L18" s="35" t="s">
        <v>280</v>
      </c>
    </row>
    <row r="19" spans="1:12" ht="18" customHeight="1" x14ac:dyDescent="0.2">
      <c r="A19" s="15">
        <v>80</v>
      </c>
      <c r="B19" s="16" t="s">
        <v>211</v>
      </c>
      <c r="C19" s="15" t="s">
        <v>212</v>
      </c>
      <c r="D19" s="13" t="s">
        <v>175</v>
      </c>
      <c r="E19" s="31" t="s">
        <v>213</v>
      </c>
      <c r="F19" s="15" t="s">
        <v>54</v>
      </c>
      <c r="G19" s="14" t="s">
        <v>18</v>
      </c>
      <c r="H19" s="15"/>
      <c r="I19" s="15"/>
      <c r="J19" s="16"/>
      <c r="K19" s="15"/>
    </row>
    <row r="20" spans="1:12" ht="18" customHeight="1" x14ac:dyDescent="0.2">
      <c r="A20" s="11">
        <v>81</v>
      </c>
      <c r="B20" s="12" t="s">
        <v>214</v>
      </c>
      <c r="C20" s="11" t="s">
        <v>215</v>
      </c>
      <c r="D20" s="13" t="s">
        <v>175</v>
      </c>
      <c r="E20" s="30" t="s">
        <v>216</v>
      </c>
      <c r="F20" s="11" t="s">
        <v>21</v>
      </c>
      <c r="G20" s="14" t="s">
        <v>18</v>
      </c>
      <c r="H20" s="11"/>
      <c r="I20" s="11"/>
      <c r="J20" s="12"/>
      <c r="K20" s="11"/>
    </row>
    <row r="21" spans="1:12" ht="18" customHeight="1" x14ac:dyDescent="0.2">
      <c r="A21" s="15">
        <v>82</v>
      </c>
      <c r="B21" s="16" t="s">
        <v>217</v>
      </c>
      <c r="C21" s="15" t="s">
        <v>218</v>
      </c>
      <c r="D21" s="13" t="s">
        <v>175</v>
      </c>
      <c r="E21" s="31" t="s">
        <v>216</v>
      </c>
      <c r="F21" s="15" t="s">
        <v>17</v>
      </c>
      <c r="G21" s="14" t="s">
        <v>18</v>
      </c>
      <c r="H21" s="15"/>
      <c r="I21" s="15"/>
      <c r="J21" s="16"/>
      <c r="K21" s="15"/>
    </row>
    <row r="22" spans="1:12" ht="18" customHeight="1" x14ac:dyDescent="0.2">
      <c r="A22" s="11">
        <v>83</v>
      </c>
      <c r="B22" s="12" t="s">
        <v>219</v>
      </c>
      <c r="C22" s="11" t="s">
        <v>220</v>
      </c>
      <c r="D22" s="13" t="s">
        <v>175</v>
      </c>
      <c r="E22" s="30" t="s">
        <v>221</v>
      </c>
      <c r="F22" s="11" t="s">
        <v>21</v>
      </c>
      <c r="G22" s="14" t="s">
        <v>18</v>
      </c>
      <c r="H22" s="11" t="s">
        <v>268</v>
      </c>
      <c r="I22" s="11" t="s">
        <v>278</v>
      </c>
      <c r="J22" s="12"/>
      <c r="K22" s="11"/>
    </row>
    <row r="23" spans="1:12" ht="18" customHeight="1" x14ac:dyDescent="0.2">
      <c r="A23" s="15">
        <v>84</v>
      </c>
      <c r="B23" s="16" t="s">
        <v>222</v>
      </c>
      <c r="C23" s="15" t="s">
        <v>223</v>
      </c>
      <c r="D23" s="13" t="s">
        <v>175</v>
      </c>
      <c r="E23" s="31" t="s">
        <v>216</v>
      </c>
      <c r="F23" s="15" t="s">
        <v>17</v>
      </c>
      <c r="G23" s="14" t="s">
        <v>18</v>
      </c>
      <c r="H23" s="15"/>
      <c r="I23" s="15"/>
      <c r="J23" s="16"/>
      <c r="K23" s="15"/>
    </row>
    <row r="24" spans="1:12" ht="18" customHeight="1" x14ac:dyDescent="0.2">
      <c r="A24" s="11">
        <v>85</v>
      </c>
      <c r="B24" s="12" t="s">
        <v>224</v>
      </c>
      <c r="C24" s="11" t="s">
        <v>225</v>
      </c>
      <c r="D24" s="13" t="s">
        <v>175</v>
      </c>
      <c r="E24" s="30" t="s">
        <v>226</v>
      </c>
      <c r="F24" s="11" t="s">
        <v>17</v>
      </c>
      <c r="G24" s="14" t="s">
        <v>18</v>
      </c>
      <c r="H24" s="11" t="s">
        <v>268</v>
      </c>
      <c r="I24" s="11" t="s">
        <v>278</v>
      </c>
      <c r="J24" s="12" t="s">
        <v>305</v>
      </c>
      <c r="K24" s="11"/>
    </row>
    <row r="25" spans="1:12" ht="15.75" customHeight="1" x14ac:dyDescent="0.2">
      <c r="A25" s="54" t="s">
        <v>263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</row>
    <row r="26" spans="1:12" ht="18" customHeight="1" x14ac:dyDescent="0.2">
      <c r="A26" s="15">
        <v>86</v>
      </c>
      <c r="B26" s="16" t="s">
        <v>227</v>
      </c>
      <c r="C26" s="15" t="s">
        <v>228</v>
      </c>
      <c r="D26" s="13" t="s">
        <v>175</v>
      </c>
      <c r="E26" s="31" t="s">
        <v>229</v>
      </c>
      <c r="F26" s="15" t="s">
        <v>17</v>
      </c>
      <c r="G26" s="14" t="s">
        <v>18</v>
      </c>
      <c r="H26" s="15"/>
      <c r="I26" s="15"/>
      <c r="J26" s="16"/>
      <c r="K26" s="15"/>
    </row>
    <row r="27" spans="1:12" ht="18" customHeight="1" x14ac:dyDescent="0.2">
      <c r="A27" s="11">
        <v>87</v>
      </c>
      <c r="B27" s="12" t="s">
        <v>230</v>
      </c>
      <c r="C27" s="11" t="s">
        <v>231</v>
      </c>
      <c r="D27" s="13" t="s">
        <v>175</v>
      </c>
      <c r="E27" s="30" t="s">
        <v>229</v>
      </c>
      <c r="F27" s="11" t="s">
        <v>17</v>
      </c>
      <c r="G27" s="14" t="s">
        <v>18</v>
      </c>
      <c r="H27" s="11"/>
      <c r="I27" s="11"/>
      <c r="J27" s="12"/>
      <c r="K27" s="11"/>
    </row>
    <row r="28" spans="1:12" ht="18" customHeight="1" x14ac:dyDescent="0.2">
      <c r="A28" s="15">
        <v>88</v>
      </c>
      <c r="B28" s="16" t="s">
        <v>232</v>
      </c>
      <c r="C28" s="15" t="s">
        <v>233</v>
      </c>
      <c r="D28" s="13" t="s">
        <v>175</v>
      </c>
      <c r="E28" s="31" t="s">
        <v>229</v>
      </c>
      <c r="F28" s="15" t="s">
        <v>17</v>
      </c>
      <c r="G28" s="14" t="s">
        <v>18</v>
      </c>
      <c r="H28" s="15"/>
      <c r="I28" s="15"/>
      <c r="J28" s="16"/>
      <c r="K28" s="15"/>
    </row>
    <row r="29" spans="1:12" ht="18" customHeight="1" x14ac:dyDescent="0.2">
      <c r="A29" s="11">
        <v>89</v>
      </c>
      <c r="B29" s="12" t="s">
        <v>234</v>
      </c>
      <c r="C29" s="11" t="s">
        <v>235</v>
      </c>
      <c r="D29" s="13" t="s">
        <v>175</v>
      </c>
      <c r="E29" s="30" t="s">
        <v>229</v>
      </c>
      <c r="F29" s="11" t="s">
        <v>54</v>
      </c>
      <c r="G29" s="14" t="s">
        <v>18</v>
      </c>
      <c r="H29" s="11"/>
      <c r="I29" s="11"/>
      <c r="J29" s="12"/>
      <c r="K29" s="11"/>
    </row>
    <row r="30" spans="1:12" ht="18" customHeight="1" x14ac:dyDescent="0.2">
      <c r="A30" s="15">
        <v>90</v>
      </c>
      <c r="B30" s="16" t="s">
        <v>236</v>
      </c>
      <c r="C30" s="15" t="s">
        <v>237</v>
      </c>
      <c r="D30" s="13" t="s">
        <v>175</v>
      </c>
      <c r="E30" s="31" t="s">
        <v>238</v>
      </c>
      <c r="F30" s="15" t="s">
        <v>21</v>
      </c>
      <c r="G30" s="14" t="s">
        <v>18</v>
      </c>
      <c r="H30" s="15"/>
      <c r="I30" s="15"/>
      <c r="J30" s="16"/>
      <c r="K30" s="15"/>
    </row>
    <row r="31" spans="1:12" ht="15.75" customHeight="1" x14ac:dyDescent="0.2">
      <c r="A31" s="54" t="s">
        <v>264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</row>
    <row r="32" spans="1:12" ht="84" x14ac:dyDescent="0.2">
      <c r="A32" s="11">
        <v>91</v>
      </c>
      <c r="B32" s="12" t="s">
        <v>239</v>
      </c>
      <c r="C32" s="11" t="s">
        <v>240</v>
      </c>
      <c r="D32" s="13" t="s">
        <v>175</v>
      </c>
      <c r="E32" s="30" t="s">
        <v>241</v>
      </c>
      <c r="F32" s="11" t="s">
        <v>17</v>
      </c>
      <c r="G32" s="14" t="s">
        <v>18</v>
      </c>
      <c r="H32" s="11" t="s">
        <v>268</v>
      </c>
      <c r="I32" s="11" t="s">
        <v>278</v>
      </c>
      <c r="J32" s="12" t="s">
        <v>306</v>
      </c>
      <c r="K32" s="11"/>
    </row>
    <row r="33" spans="1:11" ht="18" customHeight="1" x14ac:dyDescent="0.2">
      <c r="A33" s="15">
        <v>92</v>
      </c>
      <c r="B33" s="16" t="s">
        <v>242</v>
      </c>
      <c r="C33" s="15" t="s">
        <v>243</v>
      </c>
      <c r="D33" s="13" t="s">
        <v>175</v>
      </c>
      <c r="E33" s="31" t="s">
        <v>244</v>
      </c>
      <c r="F33" s="15" t="s">
        <v>21</v>
      </c>
      <c r="G33" s="14" t="s">
        <v>18</v>
      </c>
      <c r="H33" s="15"/>
      <c r="I33" s="15"/>
      <c r="J33" s="16"/>
      <c r="K33" s="15"/>
    </row>
    <row r="34" spans="1:11" ht="18" customHeight="1" x14ac:dyDescent="0.2">
      <c r="A34" s="11">
        <v>93</v>
      </c>
      <c r="B34" s="12" t="s">
        <v>245</v>
      </c>
      <c r="C34" s="11" t="s">
        <v>246</v>
      </c>
      <c r="D34" s="13" t="s">
        <v>175</v>
      </c>
      <c r="E34" s="30" t="s">
        <v>244</v>
      </c>
      <c r="F34" s="11" t="s">
        <v>54</v>
      </c>
      <c r="G34" s="17" t="s">
        <v>24</v>
      </c>
      <c r="H34" s="11"/>
      <c r="I34" s="11"/>
      <c r="J34" s="12"/>
      <c r="K34" s="11"/>
    </row>
    <row r="35" spans="1:11" ht="18" customHeight="1" x14ac:dyDescent="0.2">
      <c r="A35" s="15">
        <v>94</v>
      </c>
      <c r="B35" s="16" t="s">
        <v>247</v>
      </c>
      <c r="C35" s="15" t="s">
        <v>248</v>
      </c>
      <c r="D35" s="13" t="s">
        <v>175</v>
      </c>
      <c r="E35" s="31" t="s">
        <v>249</v>
      </c>
      <c r="F35" s="15" t="s">
        <v>21</v>
      </c>
      <c r="G35" s="14" t="s">
        <v>18</v>
      </c>
      <c r="H35" s="15"/>
      <c r="I35" s="15"/>
      <c r="J35" s="16"/>
      <c r="K35" s="15"/>
    </row>
    <row r="36" spans="1:11" ht="18" customHeight="1" x14ac:dyDescent="0.2">
      <c r="A36" s="11">
        <v>95</v>
      </c>
      <c r="B36" s="12" t="s">
        <v>250</v>
      </c>
      <c r="C36" s="11" t="s">
        <v>251</v>
      </c>
      <c r="D36" s="13" t="s">
        <v>175</v>
      </c>
      <c r="E36" s="30" t="s">
        <v>249</v>
      </c>
      <c r="F36" s="11" t="s">
        <v>21</v>
      </c>
      <c r="G36" s="14" t="s">
        <v>18</v>
      </c>
      <c r="H36" s="11"/>
      <c r="I36" s="11"/>
      <c r="J36" s="12"/>
      <c r="K36" s="11"/>
    </row>
    <row r="38" spans="1:11" ht="21.75" customHeight="1" x14ac:dyDescent="0.2">
      <c r="A38" s="55" t="s">
        <v>265</v>
      </c>
      <c r="B38" s="55"/>
      <c r="C38" s="55"/>
      <c r="D38" s="32" t="s">
        <v>266</v>
      </c>
      <c r="E38" s="33">
        <v>29</v>
      </c>
    </row>
  </sheetData>
  <mergeCells count="8">
    <mergeCell ref="A31:K31"/>
    <mergeCell ref="A38:C38"/>
    <mergeCell ref="L3:M3"/>
    <mergeCell ref="A1:K1"/>
    <mergeCell ref="A2:K2"/>
    <mergeCell ref="A4:K4"/>
    <mergeCell ref="A17:K17"/>
    <mergeCell ref="A25:K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Call Sheet</vt:lpstr>
      <vt:lpstr>Healthcare</vt:lpstr>
      <vt:lpstr>Law Firms</vt:lpstr>
      <vt:lpstr>Construction &amp; Contracting</vt:lpstr>
      <vt:lpstr>Regenerative Medicine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Dagoberto Farias</cp:lastModifiedBy>
  <cp:revision>0</cp:revision>
  <dcterms:created xsi:type="dcterms:W3CDTF">2026-03-12T21:35:57Z</dcterms:created>
  <dcterms:modified xsi:type="dcterms:W3CDTF">2026-04-07T15:05:07Z</dcterms:modified>
  <dc:language>en-US</dc:language>
</cp:coreProperties>
</file>