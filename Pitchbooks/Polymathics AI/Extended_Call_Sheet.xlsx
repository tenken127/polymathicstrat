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agobertofarias/Desktop/Polymathics/Pitchbooks/Polymathics AI/"/>
    </mc:Choice>
  </mc:AlternateContent>
  <xr:revisionPtr revIDLastSave="0" documentId="8_{EA278766-9F08-584A-A1D6-448E1EB57142}" xr6:coauthVersionLast="47" xr6:coauthVersionMax="47" xr10:uidLastSave="{00000000-0000-0000-0000-000000000000}"/>
  <bookViews>
    <workbookView xWindow="0" yWindow="660" windowWidth="30240" windowHeight="17840" tabRatio="500" activeTab="6" xr2:uid="{00000000-000D-0000-FFFF-FFFF00000000}"/>
  </bookViews>
  <sheets>
    <sheet name="Master Call Sheet" sheetId="1" r:id="rId1"/>
    <sheet name="Healthcare" sheetId="2" r:id="rId2"/>
    <sheet name="Law Firms" sheetId="3" r:id="rId3"/>
    <sheet name="Construction &amp; Contracting" sheetId="4" r:id="rId4"/>
    <sheet name="Regenerative Medicine" sheetId="5" r:id="rId5"/>
    <sheet name="Multi-State Expansion" sheetId="6" r:id="rId6"/>
    <sheet name="Florida Healthcar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6" i="7" l="1"/>
  <c r="I56" i="7"/>
  <c r="G56" i="7"/>
  <c r="E56" i="7"/>
  <c r="M193" i="1"/>
  <c r="K193" i="1"/>
  <c r="I193" i="1"/>
  <c r="G193" i="1"/>
  <c r="E193" i="1"/>
  <c r="M71" i="1"/>
  <c r="K71" i="1"/>
  <c r="I71" i="1"/>
  <c r="G71" i="1"/>
  <c r="E71" i="1"/>
</calcChain>
</file>

<file path=xl/sharedStrings.xml><?xml version="1.0" encoding="utf-8"?>
<sst xmlns="http://schemas.openxmlformats.org/spreadsheetml/2006/main" count="2477" uniqueCount="586">
  <si>
    <t>POLYMATHICS AI — Regenerative Medicine | Multi-State Expansion</t>
  </si>
  <si>
    <t>Texas (Houston / Austin / SA)  •  Utah  •  Montana  •  Wyoming  •  Louisiana  •  Mississippi  •  Florida</t>
  </si>
  <si>
    <t>#</t>
  </si>
  <si>
    <t>Business Name</t>
  </si>
  <si>
    <t>Phone Number</t>
  </si>
  <si>
    <t>Business Type</t>
  </si>
  <si>
    <t>Sub-Category</t>
  </si>
  <si>
    <t>City / State</t>
  </si>
  <si>
    <t>Priority</t>
  </si>
  <si>
    <t>Called?</t>
  </si>
  <si>
    <t>Demo Booked?</t>
  </si>
  <si>
    <t>Notes</t>
  </si>
  <si>
    <t>Follow-Up Date</t>
  </si>
  <si>
    <t>website</t>
  </si>
  <si>
    <t xml:space="preserve">  ▸  TEXAS</t>
  </si>
  <si>
    <t>Houston Regenerative Therapy</t>
  </si>
  <si>
    <t>(713) 777-7888</t>
  </si>
  <si>
    <t>Regenerative Medicine</t>
  </si>
  <si>
    <t>Stem Cell / PRP</t>
  </si>
  <si>
    <t>Houston, TX</t>
  </si>
  <si>
    <t>High</t>
  </si>
  <si>
    <t>Y</t>
  </si>
  <si>
    <t>N</t>
  </si>
  <si>
    <t>Already have AI</t>
  </si>
  <si>
    <t>Texas Pain &amp; Regenerative Medicine</t>
  </si>
  <si>
    <t>(832) 536-9891</t>
  </si>
  <si>
    <t>Stem Cell / Pain Mgmt</t>
  </si>
  <si>
    <t>I sent an email to Karen with contact: texaspainrm@tpainrm.com</t>
  </si>
  <si>
    <t>Houston Regen-U Med</t>
  </si>
  <si>
    <t>(281) 305-0021</t>
  </si>
  <si>
    <t>Regen / Wellness</t>
  </si>
  <si>
    <t xml:space="preserve">They need help, the front desk is busy and the receptionist had to take my message.  They need an AI Receptionist for sure. </t>
  </si>
  <si>
    <t>Stem Cell Center Houston</t>
  </si>
  <si>
    <t>(713) 961-3333</t>
  </si>
  <si>
    <t xml:space="preserve">Calling them back.  They need a better AI Receptionist for off hours. </t>
  </si>
  <si>
    <t>Gonstead Chiro &amp; Wellness ATX</t>
  </si>
  <si>
    <t>(512) 542-9031</t>
  </si>
  <si>
    <t>Chiro / Stem Cell / PRP</t>
  </si>
  <si>
    <t>Austin, TX</t>
  </si>
  <si>
    <t>Austin Ortho + Biologics</t>
  </si>
  <si>
    <t>(737) 204-3294</t>
  </si>
  <si>
    <t>Stem Cell / PRP / Ortho</t>
  </si>
  <si>
    <t>Austin Regenerative Therapy</t>
  </si>
  <si>
    <t>(512) 488-1787</t>
  </si>
  <si>
    <t>CHARM — Center for Healing &amp; Regen Med</t>
  </si>
  <si>
    <t>(512) 447-2900</t>
  </si>
  <si>
    <t>Stem Cell / Integrative</t>
  </si>
  <si>
    <t>Precision Regenerative &amp; Functional Med</t>
  </si>
  <si>
    <t>(512) 872-6868</t>
  </si>
  <si>
    <t>Functional / Stem Cell</t>
  </si>
  <si>
    <t>Texas Stem Cell &amp; PRP Treatment</t>
  </si>
  <si>
    <t>(214) 556-0419</t>
  </si>
  <si>
    <t>Dallas / Austin / Houston</t>
  </si>
  <si>
    <t xml:space="preserve">  ▸  UTAH</t>
  </si>
  <si>
    <t>Integrative Medica</t>
  </si>
  <si>
    <t>(801) 676-9876</t>
  </si>
  <si>
    <t>Stem Cell / Naturopathic</t>
  </si>
  <si>
    <t>Salt Lake City, UT</t>
  </si>
  <si>
    <t>Precision Pointe Regenerative Health</t>
  </si>
  <si>
    <t>(801) 613-8002</t>
  </si>
  <si>
    <t>Stem Cell / PRP / Shockwave</t>
  </si>
  <si>
    <t>Draper, UT</t>
  </si>
  <si>
    <t>Sentinel Regenerative Health</t>
  </si>
  <si>
    <t>(801) 890-7991</t>
  </si>
  <si>
    <t>Stem Cell Therapy</t>
  </si>
  <si>
    <t>Rising Health Specialty Clinic</t>
  </si>
  <si>
    <t>(801) 285-9983</t>
  </si>
  <si>
    <t>Joint Regeneration Center of Utah</t>
  </si>
  <si>
    <t>(801) 683-7000</t>
  </si>
  <si>
    <t>Stem Cell / Regen Ortho</t>
  </si>
  <si>
    <t>Albano Clinic — Utah Regenerative Med</t>
  </si>
  <si>
    <t>(801) 756-7878</t>
  </si>
  <si>
    <t>Stem Cell / Whole Body</t>
  </si>
  <si>
    <t>American Fork, UT</t>
  </si>
  <si>
    <t>Utah Stem Cells</t>
  </si>
  <si>
    <t>(801) 980-0080</t>
  </si>
  <si>
    <t>Stem Cell / Ortho Regen</t>
  </si>
  <si>
    <t xml:space="preserve">  ▸  MONTANA</t>
  </si>
  <si>
    <t>Life Enhancement Clinics of Montana</t>
  </si>
  <si>
    <t>(406) 522-9959</t>
  </si>
  <si>
    <t>Stem Cell / PRP / HRT</t>
  </si>
  <si>
    <t>Bozeman, MT</t>
  </si>
  <si>
    <t>Joint Repair Clinic of Montana</t>
  </si>
  <si>
    <t>(406) 969-0400</t>
  </si>
  <si>
    <t>Stem Cell / PRP / Chiro</t>
  </si>
  <si>
    <t>Billings, MT</t>
  </si>
  <si>
    <t>Bozeman Sport &amp; Spine</t>
  </si>
  <si>
    <t>(406) 587-0122</t>
  </si>
  <si>
    <t>Regen / Sports Medicine</t>
  </si>
  <si>
    <t>Ortho Montana Orthopedics &amp; Sports Med</t>
  </si>
  <si>
    <t>(406) 248-2060</t>
  </si>
  <si>
    <t>Orthobiologics / PRP</t>
  </si>
  <si>
    <t>Medium</t>
  </si>
  <si>
    <t>Montana Laser &amp; Regenerative Cell Therapy</t>
  </si>
  <si>
    <t>(406) 894-2244</t>
  </si>
  <si>
    <t>Regen Cell / Laser</t>
  </si>
  <si>
    <t xml:space="preserve">  ▸  WYOMING</t>
  </si>
  <si>
    <t>Mallory Family Wellness — Cheyenne</t>
  </si>
  <si>
    <t>(307) 316-3663</t>
  </si>
  <si>
    <t>PRP / Stem Cell / Family</t>
  </si>
  <si>
    <t>Cheyenne, WY</t>
  </si>
  <si>
    <t>McGinley Innovations (The McGinley Clinic)</t>
  </si>
  <si>
    <t>(307) 315-6433</t>
  </si>
  <si>
    <t>Wave / Regen Therapy</t>
  </si>
  <si>
    <t>Casper, WY</t>
  </si>
  <si>
    <t>Wyoming Stem Cell Therapy</t>
  </si>
  <si>
    <t>(307) 439-5540</t>
  </si>
  <si>
    <t>Regen Stem Vitality Wyoming</t>
  </si>
  <si>
    <t>(307) 277-3434</t>
  </si>
  <si>
    <t>Stem Cell / Vitality</t>
  </si>
  <si>
    <t xml:space="preserve">  ▸  LOUISIANA</t>
  </si>
  <si>
    <t>Ochsner Health — Orthobiologics</t>
  </si>
  <si>
    <t>(504) 842-7436</t>
  </si>
  <si>
    <t>New Orleans, LA</t>
  </si>
  <si>
    <t>Louisiana Pain Care</t>
  </si>
  <si>
    <t>(504) 322-7247</t>
  </si>
  <si>
    <t>Regen / Pain Management</t>
  </si>
  <si>
    <t>Regenerative Medicine Institute of LA</t>
  </si>
  <si>
    <t>(225) 923-1234</t>
  </si>
  <si>
    <t>Baton Rouge, LA</t>
  </si>
  <si>
    <t>Chip Bankston MD — Regen Orthopaedics</t>
  </si>
  <si>
    <t>(225) 767-0300</t>
  </si>
  <si>
    <t>PRP / Regen Ortho</t>
  </si>
  <si>
    <t>Jeremy Burnham MD — Sports Med / Biologics</t>
  </si>
  <si>
    <t>(318) 213-3600</t>
  </si>
  <si>
    <t>Biologics / Sports Med</t>
  </si>
  <si>
    <t>Shreveport, LA</t>
  </si>
  <si>
    <t>R3 Stem Cell New Orleans</t>
  </si>
  <si>
    <t>(844) 438-7836</t>
  </si>
  <si>
    <t xml:space="preserve">  ▸  MISSISSIPPI</t>
  </si>
  <si>
    <t>NexGenEsis Healthcare — Gulfport</t>
  </si>
  <si>
    <t>(228) 760-0293</t>
  </si>
  <si>
    <t>Regen / Pain / PRP</t>
  </si>
  <si>
    <t>Gulfport, MS</t>
  </si>
  <si>
    <t>Mississippi Motion — Dr. Chris Penton</t>
  </si>
  <si>
    <t>(601) 936-3838</t>
  </si>
  <si>
    <t>Jackson, MS</t>
  </si>
  <si>
    <t>MS Gulf Coast Stem Cell &amp; Regen Med Ctr</t>
  </si>
  <si>
    <t>(228) 206-4080</t>
  </si>
  <si>
    <t>Regenerative Medicine Clinic — Jackson MS</t>
  </si>
  <si>
    <t>(601) 982-1000</t>
  </si>
  <si>
    <t xml:space="preserve">  ▸  FLORIDA</t>
  </si>
  <si>
    <t>STEMS Health Regenerative Medicine</t>
  </si>
  <si>
    <t>(305) 677-0565</t>
  </si>
  <si>
    <t>Stem Cell / PRP / Exosomes</t>
  </si>
  <si>
    <t>Miami Beach, FL</t>
  </si>
  <si>
    <t>https://stemshealthregenerativemedicine.com</t>
  </si>
  <si>
    <t>StemCellMIA</t>
  </si>
  <si>
    <t>(305) 598-7246</t>
  </si>
  <si>
    <t>Stem Cell / PRP / MSC</t>
  </si>
  <si>
    <t>Miami, FL</t>
  </si>
  <si>
    <t>Regenexx — New Regeneration Ortho (Tampa)</t>
  </si>
  <si>
    <t>(813) 544-3123</t>
  </si>
  <si>
    <t>Regen Ortho / PRP</t>
  </si>
  <si>
    <t>Tampa, FL</t>
  </si>
  <si>
    <t>Regenexx — New Regeneration Ortho (St Pete)</t>
  </si>
  <si>
    <t>(727) 284-5250</t>
  </si>
  <si>
    <t>St. Petersburg, FL</t>
  </si>
  <si>
    <t>Regenexx — New Regeneration Ortho (Orlando)</t>
  </si>
  <si>
    <t>(407) 856-3695</t>
  </si>
  <si>
    <t>Winter Park, FL</t>
  </si>
  <si>
    <t>Regenerative Orthopedic Institute</t>
  </si>
  <si>
    <t>(813) 868-1098</t>
  </si>
  <si>
    <t>Florida Regenerative</t>
  </si>
  <si>
    <t>(833) 356-7473</t>
  </si>
  <si>
    <t>Stem Cell / HRT / Peptides</t>
  </si>
  <si>
    <t>Multiple FL Cities</t>
  </si>
  <si>
    <t>Orlando Center for Regenerative Medicine</t>
  </si>
  <si>
    <t>(407) 757-3141</t>
  </si>
  <si>
    <t>Orlando, FL</t>
  </si>
  <si>
    <t>MULTI-STATE TOTAL</t>
  </si>
  <si>
    <t>Texas: 10</t>
  </si>
  <si>
    <t>Utah: 7</t>
  </si>
  <si>
    <t>Montana: 5</t>
  </si>
  <si>
    <t>Wyoming: 4</t>
  </si>
  <si>
    <t>Louisiana: 6</t>
  </si>
  <si>
    <t>Mississippi: 4</t>
  </si>
  <si>
    <t>Florida: 8</t>
  </si>
  <si>
    <t>POLYMATHICS AI — DFW AI Receptionist Prospect Call Sheet</t>
  </si>
  <si>
    <t>Dallas – Fort Worth Metroplex  |  Healthcare  •  Law Firms  •  Construction &amp; Contracting  |  Updated March 2026</t>
  </si>
  <si>
    <t>City</t>
  </si>
  <si>
    <t>Mighty Smiles Dental (Fort Worth)</t>
  </si>
  <si>
    <t>(817) 449-2545</t>
  </si>
  <si>
    <t>Healthcare</t>
  </si>
  <si>
    <t>Dental</t>
  </si>
  <si>
    <t>Fort Worth</t>
  </si>
  <si>
    <t>Mighty Smiles Dental (Dallas)</t>
  </si>
  <si>
    <t>(972) 362-8000</t>
  </si>
  <si>
    <t>Dallas</t>
  </si>
  <si>
    <t>JPS Health Network Dental Clinics</t>
  </si>
  <si>
    <t>(817) 702-3567</t>
  </si>
  <si>
    <t>Catholic Charities FW Dental Clinic</t>
  </si>
  <si>
    <t>(817) 289-3882</t>
  </si>
  <si>
    <t>Brown Family Dentistry</t>
  </si>
  <si>
    <t>(817) 625-1548</t>
  </si>
  <si>
    <t>Fort Dental</t>
  </si>
  <si>
    <t>Dentistry of Fort Worth</t>
  </si>
  <si>
    <t>(817) 820-0777</t>
  </si>
  <si>
    <t>Renaissance Dental (Fort Worth)</t>
  </si>
  <si>
    <t>(817) 361-1999</t>
  </si>
  <si>
    <t>Texas Medical Institute</t>
  </si>
  <si>
    <t>(817) 615-8633</t>
  </si>
  <si>
    <t>Chiropractic</t>
  </si>
  <si>
    <t>BestHealth Chiropractic Clinic</t>
  </si>
  <si>
    <t>(817) 237-5900</t>
  </si>
  <si>
    <t>Premier Injury Chiropractic</t>
  </si>
  <si>
    <t>(817) 834-7422</t>
  </si>
  <si>
    <t>Eastside Chiropractic</t>
  </si>
  <si>
    <t>(817) 457-4441</t>
  </si>
  <si>
    <t>Prime Spine Wellness</t>
  </si>
  <si>
    <t>(817) 346-0453</t>
  </si>
  <si>
    <t>River Oaks Chiropractic</t>
  </si>
  <si>
    <t>(817) 625-1165</t>
  </si>
  <si>
    <t>House of Bones Chiropractic</t>
  </si>
  <si>
    <t>(817) 576-8570</t>
  </si>
  <si>
    <t>Posture Perfect Wellness Center</t>
  </si>
  <si>
    <t>(972) 525-8715</t>
  </si>
  <si>
    <t>Luna Physical Therapy (in-home DFW)</t>
  </si>
  <si>
    <t>(866) 525-3175</t>
  </si>
  <si>
    <t>Physical Therapy</t>
  </si>
  <si>
    <t>DFW Metro</t>
  </si>
  <si>
    <t>Marsalis Avenue Urgent Care Clinic</t>
  </si>
  <si>
    <t>(214) 432-1450</t>
  </si>
  <si>
    <t>Urgent Care</t>
  </si>
  <si>
    <t>XPRESSDOC DFW Mobile Urgent Care</t>
  </si>
  <si>
    <t>(214) 813-9632</t>
  </si>
  <si>
    <t>ER of Dallas</t>
  </si>
  <si>
    <t>(214) 613-6694</t>
  </si>
  <si>
    <t>Emergency Room</t>
  </si>
  <si>
    <t>Integra Urgent Care</t>
  </si>
  <si>
    <t>(469) 701-0420</t>
  </si>
  <si>
    <t>CityDoc Urgent Care (Fort Worth)</t>
  </si>
  <si>
    <t>(817) 439-7070</t>
  </si>
  <si>
    <t>Jim Adler — The Texas Hammer</t>
  </si>
  <si>
    <t>(800) 505-1414</t>
  </si>
  <si>
    <t>Law Firm</t>
  </si>
  <si>
    <t>Personal Injury</t>
  </si>
  <si>
    <t>Mullen &amp; Mullen Law Firm</t>
  </si>
  <si>
    <t>(214) 747-5240</t>
  </si>
  <si>
    <t>Anderson Injury Lawyers (Dallas)</t>
  </si>
  <si>
    <t>(214) 327-8000</t>
  </si>
  <si>
    <t>Anderson Injury Lawyers (Fort Worth)</t>
  </si>
  <si>
    <t>(817) 294-1900</t>
  </si>
  <si>
    <t>Fielding Law (Fort Worth)</t>
  </si>
  <si>
    <t>(877) 880-4090</t>
  </si>
  <si>
    <t>Kraft &amp; Associates</t>
  </si>
  <si>
    <t>(214) 999-9999</t>
  </si>
  <si>
    <t>Law Office of Michael F. Pezzulli</t>
  </si>
  <si>
    <t>(972) 713-1300</t>
  </si>
  <si>
    <t>Tate Law Offices</t>
  </si>
  <si>
    <t>(214) 617-2222</t>
  </si>
  <si>
    <t>DFW Injury Lawyers</t>
  </si>
  <si>
    <t>(214) 306-8809</t>
  </si>
  <si>
    <t>Hosseiny &amp; Herrera Law Firm</t>
  </si>
  <si>
    <t>(214) 357-7530</t>
  </si>
  <si>
    <t>Family / Immigration / Criminal</t>
  </si>
  <si>
    <t>Mathur Law Offices, P.C.</t>
  </si>
  <si>
    <t>(888) 867-5191</t>
  </si>
  <si>
    <t>Chavez &amp; Valko LLP</t>
  </si>
  <si>
    <t>(817) 332-1100</t>
  </si>
  <si>
    <t>Immigration</t>
  </si>
  <si>
    <t>The Piri Law Firm</t>
  </si>
  <si>
    <t>(833) 600-0029</t>
  </si>
  <si>
    <t>Immigration / Criminal</t>
  </si>
  <si>
    <t>The Meza Law Firm, PLLC</t>
  </si>
  <si>
    <t>(817) 732-6392</t>
  </si>
  <si>
    <t>Law Office of Yovanna Vargas</t>
  </si>
  <si>
    <t>(214) 974-3793</t>
  </si>
  <si>
    <t>Mark E. Jacobs, P.C.</t>
  </si>
  <si>
    <t>(972) 616-4091</t>
  </si>
  <si>
    <t>Saenz-Garcia Law, PLLC</t>
  </si>
  <si>
    <t>(469) 626-8472</t>
  </si>
  <si>
    <t>The Texas Attorney</t>
  </si>
  <si>
    <t>(844) 402-2992</t>
  </si>
  <si>
    <t>Workers Comp / Estate</t>
  </si>
  <si>
    <t>MLF Legal</t>
  </si>
  <si>
    <t>(817) 405-4552</t>
  </si>
  <si>
    <t>Workers Comp</t>
  </si>
  <si>
    <t>Adam Henderson Law Firm</t>
  </si>
  <si>
    <t>(214) 664-9999</t>
  </si>
  <si>
    <t>Lon Smith Roofing</t>
  </si>
  <si>
    <t>(800) 317-4791</t>
  </si>
  <si>
    <t>Construction / Contracting</t>
  </si>
  <si>
    <t>Roofing</t>
  </si>
  <si>
    <t>T Rock Roofing &amp; Contracting</t>
  </si>
  <si>
    <t>(469) 931-9867</t>
  </si>
  <si>
    <t>Tarrant Roofing (Fort Worth)</t>
  </si>
  <si>
    <t>(817) 571-7809</t>
  </si>
  <si>
    <t>Tarrant Roofing (Dallas)</t>
  </si>
  <si>
    <t>(972) 470-9999</t>
  </si>
  <si>
    <t>Ready Roofing &amp; Solar Dallas</t>
  </si>
  <si>
    <t>(972) 736-9468</t>
  </si>
  <si>
    <t>Empire Roofing, Inc.</t>
  </si>
  <si>
    <t>(817) 572-2250</t>
  </si>
  <si>
    <t>CSI Roofers</t>
  </si>
  <si>
    <t>(817) 503-2177</t>
  </si>
  <si>
    <t>Texas Direct Roofing &amp; Construction</t>
  </si>
  <si>
    <t>(817) 775-3540</t>
  </si>
  <si>
    <t>Martin-Tomlinson Roofing (Commercial)</t>
  </si>
  <si>
    <t>(214) 388-4871</t>
  </si>
  <si>
    <t>Bert Roofing, Inc.</t>
  </si>
  <si>
    <t>(214) 321-9341</t>
  </si>
  <si>
    <t>Old Pro Roofing (Fort Worth)</t>
  </si>
  <si>
    <t>(817) 929-7663</t>
  </si>
  <si>
    <t>Baker Brothers Plumbing, AC &amp; Electrical</t>
  </si>
  <si>
    <t>(214) 892-2225</t>
  </si>
  <si>
    <t>HVAC / Plumbing / Electrical</t>
  </si>
  <si>
    <t>A#1 Air</t>
  </si>
  <si>
    <t>(972) 746-2224</t>
  </si>
  <si>
    <t>HVAC</t>
  </si>
  <si>
    <t>Berkeys Plumbing, AC &amp; Electrical (Dallas)</t>
  </si>
  <si>
    <t>(877) 746-6855</t>
  </si>
  <si>
    <t>HVAC / Plumbing</t>
  </si>
  <si>
    <t>Berkeys Plumbing, AC &amp; Electrical (FW)</t>
  </si>
  <si>
    <t>(817) 799-6090</t>
  </si>
  <si>
    <t>LEX Air Conditioning and Heating</t>
  </si>
  <si>
    <t>(972) 466-1917</t>
  </si>
  <si>
    <t>Service Experts Dallas</t>
  </si>
  <si>
    <t>(972) 619-7607</t>
  </si>
  <si>
    <t>Astar DFW</t>
  </si>
  <si>
    <t>(972) 473-7428</t>
  </si>
  <si>
    <t>Willard HVAC</t>
  </si>
  <si>
    <t>(817) 500-8777</t>
  </si>
  <si>
    <t>Marshall Construction Company</t>
  </si>
  <si>
    <t>(817) 731-6363</t>
  </si>
  <si>
    <t>General Contractor</t>
  </si>
  <si>
    <t>MCS DFW Remodeling</t>
  </si>
  <si>
    <t>(469) 868-0839</t>
  </si>
  <si>
    <t>Manta Construction</t>
  </si>
  <si>
    <t>(214) 717-0110</t>
  </si>
  <si>
    <t>DFW Improved</t>
  </si>
  <si>
    <t>(214) 494-9068</t>
  </si>
  <si>
    <t>Texas Builders Inc.</t>
  </si>
  <si>
    <t>(817) 263-2833</t>
  </si>
  <si>
    <t>TOTALS</t>
  </si>
  <si>
    <t>Total Leads</t>
  </si>
  <si>
    <t>Law Firms</t>
  </si>
  <si>
    <t>High Priority</t>
  </si>
  <si>
    <t>LEGEND:   🟢 Healthcare   🔵 Law Firm   🟡 Construction / Contracting  |  Priority: HIGH = Call First  |  Columns H–K: Fill in as you work through the list</t>
  </si>
  <si>
    <t>RegenOrthoSport</t>
  </si>
  <si>
    <t>(817) 442-9292</t>
  </si>
  <si>
    <t>Innovations Stem Cell Center</t>
  </si>
  <si>
    <t>(214) 643-8665</t>
  </si>
  <si>
    <t>North Texas Musculoskeletal Medicine (NTXMSK)</t>
  </si>
  <si>
    <t>(817) 416-0970</t>
  </si>
  <si>
    <t>Stem Cell / PRP / Orthopedics</t>
  </si>
  <si>
    <t>Texas Orthobiologics (Dr. Don Buford)</t>
  </si>
  <si>
    <t>(972) 566-7474</t>
  </si>
  <si>
    <t>Regenerative Orthopedics</t>
  </si>
  <si>
    <t>Dallas Regenerative Medicine</t>
  </si>
  <si>
    <t>(469) 412-7000</t>
  </si>
  <si>
    <t>Remed Clinic</t>
  </si>
  <si>
    <t>(972) 542-0300</t>
  </si>
  <si>
    <t>Cellular / PRP Therapy</t>
  </si>
  <si>
    <t>Plano</t>
  </si>
  <si>
    <t>Integrative Pain Institute (Regen Medicine)</t>
  </si>
  <si>
    <t>(972) 668-2266</t>
  </si>
  <si>
    <t>The Stem Cell Institute DFW</t>
  </si>
  <si>
    <t>(972) 312-9599</t>
  </si>
  <si>
    <t>R3 Stem Cell Dallas</t>
  </si>
  <si>
    <t>(480) 439-5462</t>
  </si>
  <si>
    <t>Steve Meyers MD — Stem Cell Ft Worth</t>
  </si>
  <si>
    <t>(817) 346-5141</t>
  </si>
  <si>
    <t>Stem Cell / Orthopedics</t>
  </si>
  <si>
    <t>Dallas Regenerative Solutions</t>
  </si>
  <si>
    <t>(214) 225-8680</t>
  </si>
  <si>
    <t>Regen / Anti-Aging</t>
  </si>
  <si>
    <t>Dallas Vitality 360</t>
  </si>
  <si>
    <t>(469) 814-5752</t>
  </si>
  <si>
    <t>Formula Wellness Center</t>
  </si>
  <si>
    <t>(214) 931-9443</t>
  </si>
  <si>
    <t>HRT / TRT / Anti-Aging</t>
  </si>
  <si>
    <t>EHormones MD Dallas-Fort Worth</t>
  </si>
  <si>
    <t>(214) 865-6050</t>
  </si>
  <si>
    <t>HRT / TRT</t>
  </si>
  <si>
    <t>Renew Vitality — Dallas</t>
  </si>
  <si>
    <t>(469) 343-1100</t>
  </si>
  <si>
    <t>TRT / Men's Health</t>
  </si>
  <si>
    <t>Renew Vitality — Fort Worth</t>
  </si>
  <si>
    <t>(817) 765-5922</t>
  </si>
  <si>
    <t>MyFitMed (Dallas / Frisco / Southlake)</t>
  </si>
  <si>
    <t>(469) 320-1409</t>
  </si>
  <si>
    <t>TRT / Hormone Optimization</t>
  </si>
  <si>
    <t>Low T Center Fort Worth</t>
  </si>
  <si>
    <t>(866) 965-2806</t>
  </si>
  <si>
    <t>John A. Whitfield, MD</t>
  </si>
  <si>
    <t>(817) 927-2229</t>
  </si>
  <si>
    <t>HRT / Women's Health</t>
  </si>
  <si>
    <t>ThrIVe Drip Spa (Fort Worth)</t>
  </si>
  <si>
    <t>(817) 778-0202</t>
  </si>
  <si>
    <t>IV Therapy / Infusion</t>
  </si>
  <si>
    <t>InfuZen Health</t>
  </si>
  <si>
    <t>(682) 428-7638</t>
  </si>
  <si>
    <t>Pure IV Texas — Fort Worth</t>
  </si>
  <si>
    <t>(833) 688-1299</t>
  </si>
  <si>
    <t>Vita Drip &amp; Wellness Spa</t>
  </si>
  <si>
    <t>(972) 661-5077</t>
  </si>
  <si>
    <t>ThriveMD Dallas</t>
  </si>
  <si>
    <t>(469) 441-8699</t>
  </si>
  <si>
    <t>IV Therapy / Wellness</t>
  </si>
  <si>
    <t>The New You Medical &amp; Infusion Clinic</t>
  </si>
  <si>
    <t>(817) 203-2760</t>
  </si>
  <si>
    <t>Functional / Infusion</t>
  </si>
  <si>
    <t>Integrative Wellness Fx</t>
  </si>
  <si>
    <t>(469) 333-1298</t>
  </si>
  <si>
    <t>Functional Medicine</t>
  </si>
  <si>
    <t>Johnson Medical Associates (Functional Med)</t>
  </si>
  <si>
    <t>(972) 479-0400</t>
  </si>
  <si>
    <t>Living Well Dallas</t>
  </si>
  <si>
    <t>(214) 329-2600</t>
  </si>
  <si>
    <t>Functional / Integrative</t>
  </si>
  <si>
    <t>Integrative Medicine Clinics of Dallas</t>
  </si>
  <si>
    <t>(214) 530-9600</t>
  </si>
  <si>
    <t>Dentists of Fort Lauderdale</t>
  </si>
  <si>
    <t>(954) 947-1458</t>
  </si>
  <si>
    <t>Fort Lauderdale</t>
  </si>
  <si>
    <t>Florida Smile Studio</t>
  </si>
  <si>
    <t>(954) 905-2000</t>
  </si>
  <si>
    <t>The Dental Care Group</t>
  </si>
  <si>
    <t>(954) 963-3706</t>
  </si>
  <si>
    <t>My Dentist of Fort Lauderdale</t>
  </si>
  <si>
    <t>(954) 408-9282</t>
  </si>
  <si>
    <t>Smiles by Dr. Josh</t>
  </si>
  <si>
    <t>(954) 522-4900</t>
  </si>
  <si>
    <t>Towncare Dental Fort Lauderdale</t>
  </si>
  <si>
    <t>(954) 302-7410</t>
  </si>
  <si>
    <t>Advanced Dental Care of Orlando</t>
  </si>
  <si>
    <t>(407) 545-3810</t>
  </si>
  <si>
    <t>Orlando</t>
  </si>
  <si>
    <t>Ata Dental Orlando</t>
  </si>
  <si>
    <t>(407) 857-6501</t>
  </si>
  <si>
    <t>My DentalCare Center</t>
  </si>
  <si>
    <t>(407) 240-3372</t>
  </si>
  <si>
    <t>Oasis Dental Orlando</t>
  </si>
  <si>
    <t>(407) 674-8770</t>
  </si>
  <si>
    <t>OBT Dental</t>
  </si>
  <si>
    <t>(407) 857-8585</t>
  </si>
  <si>
    <t>Tampa Dental</t>
  </si>
  <si>
    <t>(813) 888-9004</t>
  </si>
  <si>
    <t>Tampa</t>
  </si>
  <si>
    <t>Tampa Dentistry</t>
  </si>
  <si>
    <t>(813) 333-0633</t>
  </si>
  <si>
    <t>Tampa Bay Oral Surgery</t>
  </si>
  <si>
    <t>(813) 885-6555</t>
  </si>
  <si>
    <t>Jacksonville Family Dentistry</t>
  </si>
  <si>
    <t>(904) 641-2655</t>
  </si>
  <si>
    <t>Jacksonville</t>
  </si>
  <si>
    <t>Dental Center of Jacksonville</t>
  </si>
  <si>
    <t>(904) 815-0525</t>
  </si>
  <si>
    <t>San Juan Dentistry</t>
  </si>
  <si>
    <t>(904) 822-5182</t>
  </si>
  <si>
    <t>Tropea Dental Care</t>
  </si>
  <si>
    <t>(904) 800-5692</t>
  </si>
  <si>
    <t>Palm Beach Dental Spa</t>
  </si>
  <si>
    <t>(561) 688-7933</t>
  </si>
  <si>
    <t>West Palm Beach</t>
  </si>
  <si>
    <t>Advanced Dental Group WPB</t>
  </si>
  <si>
    <t>(561) 689-0872</t>
  </si>
  <si>
    <t>Waterview Dental</t>
  </si>
  <si>
    <t>(561) 653-3339</t>
  </si>
  <si>
    <t>PT &amp; Chiro of Miami</t>
  </si>
  <si>
    <t>(305) 673-8248</t>
  </si>
  <si>
    <t>Chiro / PT</t>
  </si>
  <si>
    <t>Miami</t>
  </si>
  <si>
    <t>Cohen Chiropractic</t>
  </si>
  <si>
    <t>(954) 537-5558</t>
  </si>
  <si>
    <t>FTL Family Chiropractic</t>
  </si>
  <si>
    <t>(954) 351-5565</t>
  </si>
  <si>
    <t>Genesis Physical Medicine</t>
  </si>
  <si>
    <t>(954) 977-0888</t>
  </si>
  <si>
    <t>H2T Physical Therapy</t>
  </si>
  <si>
    <t>(954) 872-0700</t>
  </si>
  <si>
    <t>North Tampa Spine &amp; Joint</t>
  </si>
  <si>
    <t>(813) 983-7921</t>
  </si>
  <si>
    <t>Chiro &amp; PT of Florida LLC</t>
  </si>
  <si>
    <t>(813) 644-7017</t>
  </si>
  <si>
    <t>Optilife Chiropractic</t>
  </si>
  <si>
    <t>(813) 926-9500</t>
  </si>
  <si>
    <t>Strength &amp; Performance Chiro</t>
  </si>
  <si>
    <t>(813) 455-8245</t>
  </si>
  <si>
    <t>Better Care Chiropractic Orlando</t>
  </si>
  <si>
    <t>(407) 299-7737</t>
  </si>
  <si>
    <t>Jacksonville Chiro &amp; Acupuncture</t>
  </si>
  <si>
    <t>(904) 619-2703</t>
  </si>
  <si>
    <t>Chanatry Chiropractic</t>
  </si>
  <si>
    <t>(904) 743-6700</t>
  </si>
  <si>
    <t>Integrative Healthcare Solutions</t>
  </si>
  <si>
    <t>(904) 671-6672</t>
  </si>
  <si>
    <t>Jacksonville Beach</t>
  </si>
  <si>
    <t>Atlantic Chiropractic</t>
  </si>
  <si>
    <t>(904) 503-7291</t>
  </si>
  <si>
    <t>Amazing Spine Care</t>
  </si>
  <si>
    <t>(904) 320-0808</t>
  </si>
  <si>
    <t>FastCare Urgent Care</t>
  </si>
  <si>
    <t>(786) 923-4000</t>
  </si>
  <si>
    <t>Miami Beach</t>
  </si>
  <si>
    <t>The Family Med Group</t>
  </si>
  <si>
    <t>(877) 804-4364</t>
  </si>
  <si>
    <t>UHealth Jackson Urgent Care</t>
  </si>
  <si>
    <t>(305) 575-1600</t>
  </si>
  <si>
    <t>Carter's Urgent Care</t>
  </si>
  <si>
    <t>(813) 999-1152</t>
  </si>
  <si>
    <t>BayCare Urgent Care</t>
  </si>
  <si>
    <t>(813) 609-3666</t>
  </si>
  <si>
    <t>South Tampa Urgent Care</t>
  </si>
  <si>
    <t>(813) 831-6000</t>
  </si>
  <si>
    <t>TLC Urgent Care Center</t>
  </si>
  <si>
    <t>(813) 884-2370</t>
  </si>
  <si>
    <t>Urgent Care of the Palm Beaches</t>
  </si>
  <si>
    <t>(561) 429-4779</t>
  </si>
  <si>
    <t>Mobile Urgent Care WPB</t>
  </si>
  <si>
    <t>(561) 677-9999</t>
  </si>
  <si>
    <t>LEGEND:  🟢 Healthcare  🔵 Law Firm  🟡 Construction / Contracting  🟣 Regenerative Medicine  |  Priority: HIGH = Call First  |  Columns H–K: Fill as you work</t>
  </si>
  <si>
    <t>POLYMATHICS AI — Healthcare Prospects | DFW</t>
  </si>
  <si>
    <t>Dental • Chiropractic • Physical Therapy • Urgent Care — Dallas / Fort Worth</t>
  </si>
  <si>
    <t>Contact</t>
  </si>
  <si>
    <t xml:space="preserve">Website links don't work for appt requests.  Send email to offer services. </t>
  </si>
  <si>
    <t>Rosie</t>
  </si>
  <si>
    <t xml:space="preserve">Their front desk goes directly to voicemail and they need a voice agent for lead generation.  </t>
  </si>
  <si>
    <t xml:space="preserve">Sent Erika an email regarding our services. </t>
  </si>
  <si>
    <t>Erika</t>
  </si>
  <si>
    <t>(682) 312-3419</t>
  </si>
  <si>
    <t>Voicemail</t>
  </si>
  <si>
    <t>(817) 765-1600</t>
  </si>
  <si>
    <t>Send an email, spoke to Cindy.  Primary contact is Kayla with email office@dentistryfw.com</t>
  </si>
  <si>
    <t>POLYMATHICS AI — Law Firm Prospects | DFW</t>
  </si>
  <si>
    <t>Personal Injury • Family Law • Immigration • Criminal Defense • Workers Comp — Dallas / Fort Worth</t>
  </si>
  <si>
    <t>Contacts</t>
  </si>
  <si>
    <t xml:space="preserve">Left message.  Will call back. </t>
  </si>
  <si>
    <t>Already have an online agent</t>
  </si>
  <si>
    <t>POLYMATHICS AI — Construction &amp; Contracting Prospects | DFW</t>
  </si>
  <si>
    <t>Roofing • HVAC • Plumbing • Electrical • General Contractors — Dallas / Fort Worth</t>
  </si>
  <si>
    <t>Office mananger is Joanne Hedland which she can be reached at info@lonsmith.com</t>
  </si>
  <si>
    <t>Send email</t>
  </si>
  <si>
    <t>Left a message with Travis about our services.</t>
  </si>
  <si>
    <t>Already have a AI service</t>
  </si>
  <si>
    <t xml:space="preserve">They are a subsidiary of Tacta America and the contact is (847) 581-3888. </t>
  </si>
  <si>
    <t>POLYMATHICS AI — Regenerative Medicine Prospects | DFW</t>
  </si>
  <si>
    <t>Stem Cell • PRP • Orthobiologics • HRT/TRT • IV Therapy • Functional &amp; Integrative Medicine — Dallas / Fort Worth</t>
  </si>
  <si>
    <t>emails</t>
  </si>
  <si>
    <t xml:space="preserve">  ▸  STEM CELL / PRP / ORTHOBIOLOGICS</t>
  </si>
  <si>
    <t>Office Manager</t>
  </si>
  <si>
    <t>Head of Practice</t>
  </si>
  <si>
    <t xml:space="preserve">They need website AI automation services.  Sent them an email to go through demo solutions.  </t>
  </si>
  <si>
    <t>Sent an updated loom video April 6</t>
  </si>
  <si>
    <t>Kayla</t>
  </si>
  <si>
    <t>Dr. Movva</t>
  </si>
  <si>
    <t>Low</t>
  </si>
  <si>
    <t>Call Center is used to field calls</t>
  </si>
  <si>
    <t>Dr. Minotti is out of town</t>
  </si>
  <si>
    <t>Sent a updated loom video April 6</t>
  </si>
  <si>
    <t>Dr. Minotti</t>
  </si>
  <si>
    <t>Dr. Buford is emailed ot set up a demo</t>
  </si>
  <si>
    <t>Rina</t>
  </si>
  <si>
    <t xml:space="preserve">The website needs a redesign and assistance.  New patient access is challenging.  They could use an AI receptionist for assistance.   Left message. </t>
  </si>
  <si>
    <t xml:space="preserve">Savannah </t>
  </si>
  <si>
    <t>Office Manager is out but sending email to follow up. remed@remedclinic.com</t>
  </si>
  <si>
    <t>Jen</t>
  </si>
  <si>
    <t xml:space="preserve">Website needs reconstruction.  Sent an email to: contact@medcaretx.com for follow up. </t>
  </si>
  <si>
    <t>Isabel</t>
  </si>
  <si>
    <t>(214) 709-1904</t>
  </si>
  <si>
    <t>No interest in AI Agents</t>
  </si>
  <si>
    <t>Already have an agent</t>
  </si>
  <si>
    <t>Left a message</t>
  </si>
  <si>
    <t>Followed up with a message again but no answer</t>
  </si>
  <si>
    <t>(833) 746-7848</t>
  </si>
  <si>
    <t>(214) 559-4325</t>
  </si>
  <si>
    <t xml:space="preserve">Spoke to Amanda Herring and sent her email data upon request will try to book an appointment for a demo follow up but she was concerned peopole would be replaced. </t>
  </si>
  <si>
    <t>Amanda</t>
  </si>
  <si>
    <t xml:space="preserve">  ▸  HORMONE REPLACEMENT / TRT / ANTI-AGING</t>
  </si>
  <si>
    <t>Office Manager not available</t>
  </si>
  <si>
    <t xml:space="preserve">Their reception phone system is dated. </t>
  </si>
  <si>
    <t xml:space="preserve">  ▸  IV THERAPY / INFUSION WELLNESS</t>
  </si>
  <si>
    <t xml:space="preserve">  ▸  FUNCTIONAL &amp; INTEGRATIVE MEDICINE</t>
  </si>
  <si>
    <t xml:space="preserve">Their voice receptionist needs improvement.  Good potential client.  Opens at 10 AM Monday thru Thursday.  Sending an email to Mrs. Valarie, thenewyoumedical12@gmail.com </t>
  </si>
  <si>
    <t>TOTAL REGEN LEADS</t>
  </si>
  <si>
    <t>Count:</t>
  </si>
  <si>
    <t>FLORIDA HEALTHCARE — AI Receptionist Prospects</t>
  </si>
  <si>
    <t>Dental • Chiropractic / PT • Urgent Care  |  Cities: Fort Lauderdale, Miami, Orlando, Tampa, Jacksonville, West Palm Beach</t>
  </si>
  <si>
    <t>▸ FORT LAUDERDALE</t>
  </si>
  <si>
    <t>▸ MIAMI</t>
  </si>
  <si>
    <t>▸ ORLANDO</t>
  </si>
  <si>
    <t>▸ TAMPA</t>
  </si>
  <si>
    <t>▸ JACKSONVILLE</t>
  </si>
  <si>
    <t>▸ WEST PALM BEACH</t>
  </si>
  <si>
    <t>Total FL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</si>
</sst>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1A1A1A"/>
      <name val="Arial"/>
      <family val="2"/>
      <charset val="1"/>
    </font>
    <font>
      <b/>
      <sz val="10"/>
      <color rgb="FF166534"/>
      <name val="Arial"/>
      <family val="2"/>
      <charset val="1"/>
    </font>
    <font>
      <b/>
      <sz val="10"/>
      <color rgb="FF7C5A00"/>
      <name val="Arial"/>
      <family val="2"/>
      <charset val="1"/>
    </font>
    <font>
      <b/>
      <sz val="10"/>
      <color rgb="FF1B3A6B"/>
      <name val="Arial"/>
      <family val="2"/>
      <charset val="1"/>
    </font>
    <font>
      <b/>
      <sz val="11"/>
      <color rgb="FF1B3A6B"/>
      <name val="Arial"/>
      <family val="2"/>
      <charset val="1"/>
    </font>
    <font>
      <i/>
      <sz val="9"/>
      <color rgb="FF6B7280"/>
      <name val="Arial"/>
      <family val="2"/>
      <charset val="1"/>
    </font>
    <font>
      <sz val="10"/>
      <color rgb="FF1A1A1A"/>
      <name val="Arial"/>
      <family val="2"/>
    </font>
    <font>
      <b/>
      <sz val="10"/>
      <color rgb="FF6B21A8"/>
      <name val="Arial"/>
      <family val="2"/>
    </font>
    <font>
      <b/>
      <sz val="10"/>
      <color rgb="FF166534"/>
      <name val="Arial"/>
      <family val="2"/>
    </font>
    <font>
      <b/>
      <sz val="10"/>
      <color rgb="FF7C5A00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  <charset val="1"/>
    </font>
    <font>
      <b/>
      <sz val="14"/>
      <color rgb="FF1B3A6B"/>
      <name val="Arial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sz val="10"/>
      <color rgb="FF6B21A8"/>
      <name val="Arial"/>
      <family val="2"/>
    </font>
    <font>
      <b/>
      <sz val="11"/>
      <color rgb="FF6B21A8"/>
      <name val="Arial"/>
      <family val="2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6B21A8"/>
      <name val="Arial"/>
      <family val="2"/>
    </font>
    <font>
      <b/>
      <sz val="10"/>
      <color rgb="FF166534"/>
      <name val="Arial"/>
      <family val="2"/>
    </font>
    <font>
      <b/>
      <sz val="10"/>
      <color rgb="FF7C5A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1A1A1A"/>
      <name val="Arial"/>
      <family val="2"/>
    </font>
    <font>
      <b/>
      <sz val="10"/>
      <color rgb="FF166534"/>
      <name val="Arial"/>
      <family val="2"/>
    </font>
    <font>
      <b/>
      <sz val="10"/>
      <color rgb="FF7C5A00"/>
      <name val="Arial"/>
      <family val="2"/>
    </font>
    <font>
      <b/>
      <sz val="10"/>
      <color rgb="FFFFFFFF"/>
      <name val="Arial"/>
      <family val="2"/>
    </font>
    <font>
      <b/>
      <sz val="11"/>
      <color rgb="FF1B3A6B"/>
      <name val="Arial"/>
      <family val="2"/>
    </font>
    <font>
      <i/>
      <sz val="9"/>
      <color rgb="FF6B7280"/>
      <name val="Arial"/>
      <family val="2"/>
    </font>
    <font>
      <b/>
      <sz val="14"/>
      <color rgb="FFFFFFFF"/>
      <name val="Arial"/>
      <family val="2"/>
    </font>
    <font>
      <i/>
      <sz val="10"/>
      <color rgb="FF0C4A6E"/>
      <name val="Arial"/>
      <family val="2"/>
    </font>
    <font>
      <b/>
      <sz val="11"/>
      <color rgb="FF0C4A6E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563A8"/>
        <bgColor rgb="FF3366FF"/>
      </patternFill>
    </fill>
    <fill>
      <patternFill patternType="solid">
        <fgColor rgb="FFFFFFFF"/>
        <bgColor rgb="FFF0F4FA"/>
      </patternFill>
    </fill>
    <fill>
      <patternFill patternType="solid">
        <fgColor rgb="FFDCFCE7"/>
        <bgColor rgb="FFF0F4FA"/>
      </patternFill>
    </fill>
    <fill>
      <patternFill patternType="solid">
        <fgColor rgb="FFF0F4FA"/>
        <bgColor rgb="FFEDE9FE"/>
      </patternFill>
    </fill>
    <fill>
      <patternFill patternType="solid">
        <fgColor rgb="FFFEF9C3"/>
        <bgColor rgb="FFFFFF99"/>
      </patternFill>
    </fill>
    <fill>
      <patternFill patternType="solid">
        <fgColor rgb="FFD6E8F7"/>
        <bgColor rgb="FFEDE9FE"/>
      </patternFill>
    </fill>
    <fill>
      <patternFill patternType="solid">
        <fgColor rgb="FFEDE9FE"/>
        <bgColor rgb="FFF0F4FA"/>
      </patternFill>
    </fill>
    <fill>
      <patternFill patternType="solid">
        <fgColor rgb="FF166534"/>
        <bgColor rgb="FF008080"/>
      </patternFill>
    </fill>
    <fill>
      <patternFill patternType="solid">
        <fgColor rgb="FFD4A017"/>
        <bgColor rgb="FFA07A10"/>
      </patternFill>
    </fill>
    <fill>
      <patternFill patternType="solid">
        <fgColor rgb="FFA07A10"/>
        <bgColor rgb="FF7C5A00"/>
      </patternFill>
    </fill>
    <fill>
      <patternFill patternType="solid">
        <fgColor rgb="FF6B21A8"/>
        <bgColor rgb="FF800080"/>
      </patternFill>
    </fill>
    <fill>
      <patternFill patternType="solid">
        <fgColor rgb="FF7C3AED"/>
        <bgColor rgb="FF6B21A8"/>
      </patternFill>
    </fill>
    <fill>
      <patternFill patternType="solid">
        <fgColor rgb="FFFFC000"/>
        <bgColor rgb="FFF0F4FA"/>
      </patternFill>
    </fill>
    <fill>
      <patternFill patternType="solid">
        <fgColor theme="0" tint="-0.499984740745262"/>
        <bgColor rgb="FFF0F4F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99"/>
      </patternFill>
    </fill>
    <fill>
      <patternFill patternType="solid">
        <fgColor rgb="FF6B21A8"/>
      </patternFill>
    </fill>
    <fill>
      <patternFill patternType="solid">
        <fgColor rgb="FF7C3AED"/>
      </patternFill>
    </fill>
    <fill>
      <patternFill patternType="solid">
        <fgColor rgb="FF1E3A5F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14532D"/>
      </patternFill>
    </fill>
    <fill>
      <patternFill patternType="solid">
        <fgColor rgb="FF7C2D12"/>
      </patternFill>
    </fill>
    <fill>
      <patternFill patternType="solid">
        <fgColor rgb="FFFEF3C7"/>
      </patternFill>
    </fill>
    <fill>
      <patternFill patternType="solid">
        <fgColor rgb="FFFEF9C3"/>
      </patternFill>
    </fill>
    <fill>
      <patternFill patternType="solid">
        <fgColor rgb="FFE0F2FE"/>
      </patternFill>
    </fill>
    <fill>
      <patternFill patternType="solid">
        <fgColor rgb="FF4A1D96"/>
      </patternFill>
    </fill>
    <fill>
      <patternFill patternType="solid">
        <fgColor rgb="FF166534"/>
      </patternFill>
    </fill>
    <fill>
      <patternFill patternType="solid">
        <fgColor rgb="FFF0FDF4"/>
      </patternFill>
    </fill>
    <fill>
      <patternFill patternType="solid">
        <fgColor rgb="FF9D174D"/>
      </patternFill>
    </fill>
    <fill>
      <patternFill patternType="solid">
        <fgColor rgb="FFFCE7F3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E0F2FE"/>
      </patternFill>
    </fill>
    <fill>
      <patternFill patternType="solid">
        <fgColor rgb="FFFEF9C3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1B3A6B"/>
      </patternFill>
    </fill>
    <fill>
      <patternFill patternType="solid">
        <fgColor rgb="FF2563A8"/>
      </patternFill>
    </fill>
    <fill>
      <patternFill patternType="solid">
        <fgColor rgb="FFD6E8F7"/>
      </patternFill>
    </fill>
    <fill>
      <patternFill patternType="solid">
        <fgColor rgb="FF0C4A6E"/>
      </patternFill>
    </fill>
    <fill>
      <patternFill patternType="solid">
        <fgColor rgb="FF9D174D"/>
      </patternFill>
    </fill>
    <fill>
      <patternFill patternType="solid">
        <fgColor rgb="FF7C2D12"/>
      </patternFill>
    </fill>
    <fill>
      <patternFill patternType="solid">
        <fgColor rgb="FF065F46"/>
      </patternFill>
    </fill>
    <fill>
      <patternFill patternType="solid">
        <fgColor rgb="FF1E3A5F"/>
      </patternFill>
    </fill>
    <fill>
      <patternFill patternType="solid">
        <fgColor rgb="FF4A1D96"/>
      </patternFill>
    </fill>
  </fills>
  <borders count="1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11"/>
    <xf numFmtId="43" fontId="28" fillId="0" borderId="11"/>
  </cellStyleXfs>
  <cellXfs count="146"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9" fillId="9" borderId="2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4" fillId="13" borderId="0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left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0" fillId="17" borderId="0" xfId="0" applyFill="1" applyBorder="1"/>
    <xf numFmtId="0" fontId="13" fillId="18" borderId="2" xfId="0" applyFont="1" applyFill="1" applyBorder="1" applyAlignment="1">
      <alignment horizontal="center" vertical="center" wrapText="1"/>
    </xf>
    <xf numFmtId="0" fontId="24" fillId="22" borderId="10" xfId="0" applyFont="1" applyFill="1" applyBorder="1" applyAlignment="1">
      <alignment horizontal="center" vertical="center" wrapText="1"/>
    </xf>
    <xf numFmtId="0" fontId="24" fillId="22" borderId="10" xfId="0" applyFont="1" applyFill="1" applyBorder="1" applyAlignment="1">
      <alignment horizontal="left" vertical="center" wrapText="1"/>
    </xf>
    <xf numFmtId="0" fontId="25" fillId="23" borderId="10" xfId="0" applyFont="1" applyFill="1" applyBorder="1" applyAlignment="1">
      <alignment horizontal="center" vertical="center" wrapText="1"/>
    </xf>
    <xf numFmtId="0" fontId="26" fillId="24" borderId="10" xfId="0" applyFont="1" applyFill="1" applyBorder="1" applyAlignment="1">
      <alignment horizontal="center" vertical="center" wrapText="1"/>
    </xf>
    <xf numFmtId="0" fontId="28" fillId="22" borderId="11" xfId="0" applyFont="1" applyFill="1"/>
    <xf numFmtId="0" fontId="24" fillId="23" borderId="10" xfId="0" applyFont="1" applyFill="1" applyBorder="1" applyAlignment="1">
      <alignment horizontal="center" vertical="center" wrapText="1"/>
    </xf>
    <xf numFmtId="0" fontId="24" fillId="23" borderId="10" xfId="0" applyFont="1" applyFill="1" applyBorder="1" applyAlignment="1">
      <alignment horizontal="left" vertical="center" wrapText="1"/>
    </xf>
    <xf numFmtId="0" fontId="28" fillId="22" borderId="11" xfId="0" applyFont="1" applyFill="1" applyAlignment="1">
      <alignment horizontal="center" vertical="center" wrapText="1"/>
    </xf>
    <xf numFmtId="164" fontId="26" fillId="24" borderId="10" xfId="1" applyNumberFormat="1" applyFont="1" applyFill="1" applyBorder="1" applyAlignment="1">
      <alignment horizontal="center" vertical="center" wrapText="1"/>
    </xf>
    <xf numFmtId="0" fontId="27" fillId="29" borderId="10" xfId="0" applyFont="1" applyFill="1" applyBorder="1" applyAlignment="1">
      <alignment horizontal="center" vertical="center" wrapText="1"/>
    </xf>
    <xf numFmtId="0" fontId="23" fillId="19" borderId="9" xfId="0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left" vertical="center" wrapText="1"/>
    </xf>
    <xf numFmtId="0" fontId="24" fillId="24" borderId="10" xfId="0" applyFont="1" applyFill="1" applyBorder="1" applyAlignment="1">
      <alignment horizontal="center" vertical="center" wrapText="1"/>
    </xf>
    <xf numFmtId="0" fontId="24" fillId="24" borderId="10" xfId="0" applyFont="1" applyFill="1" applyBorder="1" applyAlignment="1">
      <alignment horizontal="left" vertical="center" wrapText="1"/>
    </xf>
    <xf numFmtId="0" fontId="24" fillId="28" borderId="10" xfId="0" applyFont="1" applyFill="1" applyBorder="1" applyAlignment="1">
      <alignment horizontal="center" vertical="center" wrapText="1"/>
    </xf>
    <xf numFmtId="0" fontId="24" fillId="28" borderId="10" xfId="0" applyFont="1" applyFill="1" applyBorder="1" applyAlignment="1">
      <alignment horizontal="left" vertical="center" wrapText="1"/>
    </xf>
    <xf numFmtId="0" fontId="24" fillId="30" borderId="10" xfId="0" applyFont="1" applyFill="1" applyBorder="1" applyAlignment="1">
      <alignment horizontal="center" vertical="center" wrapText="1"/>
    </xf>
    <xf numFmtId="0" fontId="24" fillId="30" borderId="10" xfId="0" applyFont="1" applyFill="1" applyBorder="1" applyAlignment="1">
      <alignment horizontal="left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left" vertical="center" wrapText="1"/>
    </xf>
    <xf numFmtId="0" fontId="24" fillId="35" borderId="10" xfId="0" applyFont="1" applyFill="1" applyBorder="1" applyAlignment="1">
      <alignment horizontal="center" vertical="center" wrapText="1"/>
    </xf>
    <xf numFmtId="0" fontId="24" fillId="35" borderId="10" xfId="0" applyFont="1" applyFill="1" applyBorder="1" applyAlignment="1">
      <alignment horizontal="left" vertical="center" wrapText="1"/>
    </xf>
    <xf numFmtId="0" fontId="23" fillId="21" borderId="9" xfId="0" applyFont="1" applyFill="1" applyBorder="1" applyAlignment="1">
      <alignment horizontal="center" vertical="center" wrapText="1"/>
    </xf>
    <xf numFmtId="0" fontId="23" fillId="26" borderId="9" xfId="0" applyFont="1" applyFill="1" applyBorder="1" applyAlignment="1">
      <alignment horizontal="center" vertical="center" wrapText="1"/>
    </xf>
    <xf numFmtId="0" fontId="23" fillId="27" borderId="9" xfId="0" applyFont="1" applyFill="1" applyBorder="1" applyAlignment="1">
      <alignment horizontal="center" vertical="center" wrapText="1"/>
    </xf>
    <xf numFmtId="0" fontId="23" fillId="31" borderId="9" xfId="0" applyFont="1" applyFill="1" applyBorder="1" applyAlignment="1">
      <alignment horizontal="center" vertical="center" wrapText="1"/>
    </xf>
    <xf numFmtId="0" fontId="23" fillId="32" borderId="9" xfId="0" applyFont="1" applyFill="1" applyBorder="1" applyAlignment="1">
      <alignment horizontal="center" vertical="center" wrapText="1"/>
    </xf>
    <xf numFmtId="0" fontId="23" fillId="34" borderId="9" xfId="0" applyFont="1" applyFill="1" applyBorder="1" applyAlignment="1">
      <alignment horizontal="center" vertical="center" wrapText="1"/>
    </xf>
    <xf numFmtId="0" fontId="10" fillId="22" borderId="10" xfId="0" applyFont="1" applyFill="1" applyBorder="1" applyAlignment="1">
      <alignment horizontal="center" vertical="center" wrapText="1"/>
    </xf>
    <xf numFmtId="0" fontId="10" fillId="22" borderId="10" xfId="0" applyFont="1" applyFill="1" applyBorder="1" applyAlignment="1">
      <alignment horizontal="left" vertical="center" wrapText="1"/>
    </xf>
    <xf numFmtId="0" fontId="24" fillId="17" borderId="10" xfId="0" applyFont="1" applyFill="1" applyBorder="1" applyAlignment="1">
      <alignment horizontal="center" vertical="center" wrapText="1"/>
    </xf>
    <xf numFmtId="0" fontId="24" fillId="17" borderId="10" xfId="0" applyFont="1" applyFill="1" applyBorder="1" applyAlignment="1">
      <alignment horizontal="left" vertical="center" wrapText="1"/>
    </xf>
    <xf numFmtId="0" fontId="25" fillId="17" borderId="10" xfId="0" applyFont="1" applyFill="1" applyBorder="1" applyAlignment="1">
      <alignment horizontal="center" vertical="center" wrapText="1"/>
    </xf>
    <xf numFmtId="0" fontId="26" fillId="17" borderId="10" xfId="0" applyFont="1" applyFill="1" applyBorder="1" applyAlignment="1">
      <alignment horizontal="center" vertical="center" wrapText="1"/>
    </xf>
    <xf numFmtId="0" fontId="10" fillId="17" borderId="10" xfId="0" applyFont="1" applyFill="1" applyBorder="1" applyAlignment="1">
      <alignment horizontal="center" vertical="center" wrapText="1"/>
    </xf>
    <xf numFmtId="0" fontId="10" fillId="17" borderId="10" xfId="0" applyFont="1" applyFill="1" applyBorder="1" applyAlignment="1">
      <alignment horizontal="left" vertical="center" wrapText="1"/>
    </xf>
    <xf numFmtId="0" fontId="10" fillId="25" borderId="10" xfId="0" applyFont="1" applyFill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left" vertical="center" wrapText="1"/>
    </xf>
    <xf numFmtId="0" fontId="14" fillId="19" borderId="4" xfId="0" applyFont="1" applyFill="1" applyBorder="1" applyAlignment="1">
      <alignment horizontal="center" vertical="center" wrapText="1"/>
    </xf>
    <xf numFmtId="0" fontId="30" fillId="36" borderId="14" xfId="0" applyFont="1" applyFill="1" applyBorder="1" applyAlignment="1">
      <alignment horizontal="center" vertical="center" wrapText="1"/>
    </xf>
    <xf numFmtId="0" fontId="30" fillId="36" borderId="14" xfId="0" applyFont="1" applyFill="1" applyBorder="1" applyAlignment="1">
      <alignment horizontal="left" vertical="center" wrapText="1"/>
    </xf>
    <xf numFmtId="0" fontId="31" fillId="37" borderId="14" xfId="0" applyFont="1" applyFill="1" applyBorder="1" applyAlignment="1">
      <alignment horizontal="center" vertical="center" wrapText="1"/>
    </xf>
    <xf numFmtId="0" fontId="29" fillId="36" borderId="13" xfId="0" applyFont="1" applyFill="1" applyBorder="1"/>
    <xf numFmtId="0" fontId="30" fillId="38" borderId="14" xfId="0" applyFont="1" applyFill="1" applyBorder="1" applyAlignment="1">
      <alignment horizontal="center" vertical="center" wrapText="1"/>
    </xf>
    <xf numFmtId="0" fontId="30" fillId="38" borderId="14" xfId="0" applyFont="1" applyFill="1" applyBorder="1" applyAlignment="1">
      <alignment horizontal="left" vertical="center" wrapText="1"/>
    </xf>
    <xf numFmtId="0" fontId="29" fillId="36" borderId="13" xfId="0" applyFont="1" applyFill="1" applyBorder="1" applyAlignment="1">
      <alignment horizontal="center" vertical="center" wrapText="1"/>
    </xf>
    <xf numFmtId="0" fontId="32" fillId="39" borderId="14" xfId="0" applyFont="1" applyFill="1" applyBorder="1" applyAlignment="1">
      <alignment horizontal="center" vertical="center" wrapText="1"/>
    </xf>
    <xf numFmtId="0" fontId="30" fillId="40" borderId="14" xfId="0" applyFont="1" applyFill="1" applyBorder="1" applyAlignment="1">
      <alignment horizontal="center" vertical="center" wrapText="1"/>
    </xf>
    <xf numFmtId="0" fontId="30" fillId="40" borderId="14" xfId="0" applyFont="1" applyFill="1" applyBorder="1" applyAlignment="1">
      <alignment horizontal="left" vertical="center" wrapText="1"/>
    </xf>
    <xf numFmtId="0" fontId="30" fillId="41" borderId="14" xfId="0" applyFont="1" applyFill="1" applyBorder="1" applyAlignment="1">
      <alignment horizontal="center" vertical="center" wrapText="1"/>
    </xf>
    <xf numFmtId="0" fontId="30" fillId="41" borderId="14" xfId="0" applyFont="1" applyFill="1" applyBorder="1" applyAlignment="1">
      <alignment horizontal="left" vertical="center" wrapText="1"/>
    </xf>
    <xf numFmtId="0" fontId="30" fillId="42" borderId="14" xfId="0" applyFont="1" applyFill="1" applyBorder="1" applyAlignment="1">
      <alignment horizontal="center" vertical="center" wrapText="1"/>
    </xf>
    <xf numFmtId="0" fontId="30" fillId="42" borderId="14" xfId="0" applyFont="1" applyFill="1" applyBorder="1" applyAlignment="1">
      <alignment horizontal="left" vertical="center" wrapText="1"/>
    </xf>
    <xf numFmtId="0" fontId="30" fillId="43" borderId="14" xfId="0" applyFont="1" applyFill="1" applyBorder="1" applyAlignment="1">
      <alignment horizontal="center" vertical="center" wrapText="1"/>
    </xf>
    <xf numFmtId="0" fontId="30" fillId="43" borderId="14" xfId="0" applyFont="1" applyFill="1" applyBorder="1" applyAlignment="1">
      <alignment horizontal="left" vertical="center" wrapText="1"/>
    </xf>
    <xf numFmtId="0" fontId="30" fillId="44" borderId="14" xfId="0" applyFont="1" applyFill="1" applyBorder="1" applyAlignment="1">
      <alignment horizontal="center" vertical="center" wrapText="1"/>
    </xf>
    <xf numFmtId="0" fontId="30" fillId="44" borderId="14" xfId="0" applyFont="1" applyFill="1" applyBorder="1" applyAlignment="1">
      <alignment horizontal="left" vertical="center" wrapText="1"/>
    </xf>
    <xf numFmtId="0" fontId="33" fillId="46" borderId="15" xfId="0" applyFont="1" applyFill="1" applyBorder="1" applyAlignment="1">
      <alignment horizontal="center" vertical="center" wrapText="1"/>
    </xf>
    <xf numFmtId="0" fontId="34" fillId="47" borderId="14" xfId="0" applyFont="1" applyFill="1" applyBorder="1" applyAlignment="1">
      <alignment horizontal="center" vertical="center" wrapText="1"/>
    </xf>
    <xf numFmtId="0" fontId="33" fillId="48" borderId="15" xfId="0" applyFont="1" applyFill="1" applyBorder="1" applyAlignment="1">
      <alignment horizontal="center" vertical="center" wrapText="1"/>
    </xf>
    <xf numFmtId="0" fontId="38" fillId="38" borderId="14" xfId="0" applyFont="1" applyFill="1" applyBorder="1" applyAlignment="1">
      <alignment horizontal="center" vertical="center" wrapText="1"/>
    </xf>
    <xf numFmtId="0" fontId="23" fillId="31" borderId="9" xfId="0" applyFont="1" applyFill="1" applyBorder="1" applyAlignment="1">
      <alignment horizontal="left" vertical="center"/>
    </xf>
    <xf numFmtId="0" fontId="0" fillId="0" borderId="8" xfId="0" applyBorder="1"/>
    <xf numFmtId="0" fontId="0" fillId="0" borderId="12" xfId="0" applyBorder="1"/>
    <xf numFmtId="0" fontId="23" fillId="21" borderId="9" xfId="0" applyFont="1" applyFill="1" applyBorder="1" applyAlignment="1">
      <alignment horizontal="left" vertical="center"/>
    </xf>
    <xf numFmtId="0" fontId="23" fillId="26" borderId="9" xfId="0" applyFont="1" applyFill="1" applyBorder="1" applyAlignment="1">
      <alignment horizontal="left" vertical="center"/>
    </xf>
    <xf numFmtId="0" fontId="23" fillId="32" borderId="9" xfId="0" applyFont="1" applyFill="1" applyBorder="1" applyAlignment="1">
      <alignment horizontal="left" vertical="center"/>
    </xf>
    <xf numFmtId="0" fontId="22" fillId="20" borderId="11" xfId="0" applyFont="1" applyFill="1" applyAlignment="1">
      <alignment horizontal="center" vertical="center" wrapText="1"/>
    </xf>
    <xf numFmtId="0" fontId="0" fillId="0" borderId="0" xfId="0" applyBorder="1"/>
    <xf numFmtId="0" fontId="23" fillId="19" borderId="11" xfId="0" applyFont="1" applyFill="1" applyAlignment="1">
      <alignment horizontal="center" vertical="center" wrapText="1"/>
    </xf>
    <xf numFmtId="0" fontId="23" fillId="34" borderId="9" xfId="0" applyFont="1" applyFill="1" applyBorder="1" applyAlignment="1">
      <alignment horizontal="left" vertical="center"/>
    </xf>
    <xf numFmtId="0" fontId="21" fillId="19" borderId="11" xfId="0" applyFont="1" applyFill="1" applyAlignment="1">
      <alignment horizontal="center" vertical="center" wrapText="1"/>
    </xf>
    <xf numFmtId="0" fontId="23" fillId="27" borderId="9" xfId="0" applyFont="1" applyFill="1" applyBorder="1" applyAlignment="1">
      <alignment horizontal="left" vertical="center"/>
    </xf>
    <xf numFmtId="0" fontId="3" fillId="2" borderId="11" xfId="0" applyFont="1" applyFill="1" applyAlignment="1">
      <alignment horizontal="center" vertical="center" wrapText="1"/>
    </xf>
    <xf numFmtId="0" fontId="33" fillId="45" borderId="13" xfId="0" applyFont="1" applyFill="1" applyBorder="1" applyAlignment="1">
      <alignment horizontal="center" vertical="center" wrapText="1"/>
    </xf>
    <xf numFmtId="0" fontId="0" fillId="0" borderId="11" xfId="0"/>
    <xf numFmtId="0" fontId="35" fillId="36" borderId="13" xfId="0" applyFont="1" applyFill="1" applyBorder="1" applyAlignment="1">
      <alignment horizontal="left" vertical="center"/>
    </xf>
    <xf numFmtId="0" fontId="9" fillId="0" borderId="11" xfId="0" applyFont="1" applyAlignment="1">
      <alignment horizontal="left" vertical="center" wrapText="1"/>
    </xf>
    <xf numFmtId="0" fontId="2" fillId="3" borderId="11" xfId="0" applyFont="1" applyFill="1" applyAlignment="1">
      <alignment horizontal="center" vertical="center" wrapText="1"/>
    </xf>
    <xf numFmtId="0" fontId="1" fillId="2" borderId="11" xfId="0" applyFont="1" applyFill="1" applyAlignment="1">
      <alignment horizontal="center" vertical="center" wrapText="1"/>
    </xf>
    <xf numFmtId="0" fontId="2" fillId="10" borderId="11" xfId="0" applyFont="1" applyFill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15" fillId="10" borderId="11" xfId="0" applyFont="1" applyFill="1" applyAlignment="1">
      <alignment horizontal="center" vertical="center" wrapText="1"/>
    </xf>
    <xf numFmtId="0" fontId="2" fillId="2" borderId="11" xfId="0" applyFont="1" applyFill="1" applyAlignment="1">
      <alignment horizontal="center" vertical="center" wrapText="1"/>
    </xf>
    <xf numFmtId="0" fontId="15" fillId="3" borderId="11" xfId="0" applyFont="1" applyFill="1" applyAlignment="1">
      <alignment horizontal="center" vertical="center" wrapText="1"/>
    </xf>
    <xf numFmtId="0" fontId="2" fillId="12" borderId="11" xfId="0" applyFont="1" applyFill="1" applyAlignment="1">
      <alignment horizontal="center" vertical="center" wrapText="1"/>
    </xf>
    <xf numFmtId="0" fontId="16" fillId="11" borderId="11" xfId="0" applyFont="1" applyFill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left" vertical="center"/>
    </xf>
    <xf numFmtId="0" fontId="18" fillId="14" borderId="11" xfId="0" applyFont="1" applyFill="1" applyAlignment="1">
      <alignment horizontal="center" vertical="center" wrapText="1"/>
    </xf>
    <xf numFmtId="0" fontId="14" fillId="13" borderId="11" xfId="0" applyFont="1" applyFill="1" applyAlignment="1">
      <alignment horizontal="center" vertical="center" wrapText="1"/>
    </xf>
    <xf numFmtId="0" fontId="17" fillId="13" borderId="11" xfId="0" applyFont="1" applyFill="1" applyAlignment="1">
      <alignment horizontal="center" vertical="center" wrapText="1"/>
    </xf>
    <xf numFmtId="0" fontId="33" fillId="48" borderId="0" xfId="0" applyFont="1" applyFill="1" applyBorder="1" applyAlignment="1">
      <alignment horizontal="left" vertical="center" wrapText="1"/>
    </xf>
    <xf numFmtId="0" fontId="33" fillId="50" borderId="0" xfId="0" applyFont="1" applyFill="1" applyBorder="1" applyAlignment="1">
      <alignment horizontal="left" vertical="center" wrapText="1"/>
    </xf>
    <xf numFmtId="0" fontId="33" fillId="52" borderId="0" xfId="0" applyFont="1" applyFill="1" applyBorder="1" applyAlignment="1">
      <alignment horizontal="left" vertical="center" wrapText="1"/>
    </xf>
    <xf numFmtId="0" fontId="33" fillId="49" borderId="0" xfId="0" applyFont="1" applyFill="1" applyBorder="1" applyAlignment="1">
      <alignment horizontal="left" vertical="center" wrapText="1"/>
    </xf>
    <xf numFmtId="0" fontId="37" fillId="38" borderId="0" xfId="0" applyFont="1" applyFill="1" applyBorder="1" applyAlignment="1">
      <alignment horizontal="center" vertical="center" wrapText="1"/>
    </xf>
    <xf numFmtId="0" fontId="33" fillId="53" borderId="0" xfId="0" applyFont="1" applyFill="1" applyBorder="1" applyAlignment="1">
      <alignment horizontal="left" vertical="center" wrapText="1"/>
    </xf>
    <xf numFmtId="0" fontId="33" fillId="48" borderId="0" xfId="0" applyFont="1" applyFill="1" applyBorder="1" applyAlignment="1">
      <alignment horizontal="center" vertical="center" wrapText="1"/>
    </xf>
    <xf numFmtId="0" fontId="36" fillId="48" borderId="0" xfId="0" applyFont="1" applyFill="1" applyBorder="1" applyAlignment="1">
      <alignment horizontal="center" vertical="center" wrapText="1"/>
    </xf>
    <xf numFmtId="0" fontId="33" fillId="51" borderId="0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A07A10"/>
      <rgbColor rgb="FF6B21A8"/>
      <rgbColor rgb="FF008080"/>
      <rgbColor rgb="FFCCCCCC"/>
      <rgbColor rgb="FF808080"/>
      <rgbColor rgb="FF9999FF"/>
      <rgbColor rgb="FF7C3AED"/>
      <rgbColor rgb="FFFEF9C3"/>
      <rgbColor rgb="FFDCFCE7"/>
      <rgbColor rgb="FF660066"/>
      <rgbColor rgb="FFFF8080"/>
      <rgbColor rgb="FF2563A8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8F7"/>
      <rgbColor rgb="FFF0F4F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B7280"/>
      <rgbColor rgb="FF969696"/>
      <rgbColor rgb="FF1B3A6B"/>
      <rgbColor rgb="FF339966"/>
      <rgbColor rgb="FF003300"/>
      <rgbColor rgb="FF333300"/>
      <rgbColor rgb="FF7C5A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"/>
  <sheetViews>
    <sheetView zoomScale="140" zoomScaleNormal="140" workbookViewId="0">
      <pane ySplit="3" topLeftCell="A121" activePane="bottomLeft" state="frozen"/>
      <selection pane="bottomLeft" activeCell="K132" sqref="K132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4" customWidth="1"/>
    <col min="5" max="5" width="10" bestFit="1" customWidth="1"/>
    <col min="6" max="6" width="24" customWidth="1"/>
    <col min="7" max="7" width="10" customWidth="1"/>
    <col min="8" max="8" width="24" customWidth="1"/>
    <col min="9" max="9" width="10" customWidth="1"/>
    <col min="10" max="10" width="24" customWidth="1"/>
    <col min="11" max="11" width="10" customWidth="1"/>
    <col min="12" max="12" width="24" customWidth="1"/>
    <col min="13" max="13" width="10" customWidth="1"/>
  </cols>
  <sheetData>
    <row r="1" spans="1:11" ht="36" customHeight="1" x14ac:dyDescent="0.2">
      <c r="A1" s="124" t="s">
        <v>178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19.5" customHeight="1" x14ac:dyDescent="0.2">
      <c r="A2" s="123" t="s">
        <v>179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180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8" customHeight="1" x14ac:dyDescent="0.2">
      <c r="A4" s="2">
        <v>1</v>
      </c>
      <c r="B4" s="3" t="s">
        <v>181</v>
      </c>
      <c r="C4" s="2" t="s">
        <v>182</v>
      </c>
      <c r="D4" s="4" t="s">
        <v>183</v>
      </c>
      <c r="E4" s="3" t="s">
        <v>184</v>
      </c>
      <c r="F4" s="2" t="s">
        <v>185</v>
      </c>
      <c r="G4" s="4" t="s">
        <v>20</v>
      </c>
      <c r="H4" s="2"/>
      <c r="I4" s="2"/>
      <c r="J4" s="3"/>
      <c r="K4" s="2"/>
    </row>
    <row r="5" spans="1:11" ht="18" customHeight="1" x14ac:dyDescent="0.2">
      <c r="A5" s="5">
        <v>2</v>
      </c>
      <c r="B5" s="6" t="s">
        <v>186</v>
      </c>
      <c r="C5" s="5" t="s">
        <v>187</v>
      </c>
      <c r="D5" s="4" t="s">
        <v>183</v>
      </c>
      <c r="E5" s="6" t="s">
        <v>184</v>
      </c>
      <c r="F5" s="5" t="s">
        <v>188</v>
      </c>
      <c r="G5" s="4" t="s">
        <v>20</v>
      </c>
      <c r="H5" s="5"/>
      <c r="I5" s="5"/>
      <c r="J5" s="6"/>
      <c r="K5" s="5"/>
    </row>
    <row r="6" spans="1:11" ht="18" customHeight="1" x14ac:dyDescent="0.2">
      <c r="A6" s="2">
        <v>3</v>
      </c>
      <c r="B6" s="3" t="s">
        <v>189</v>
      </c>
      <c r="C6" s="2" t="s">
        <v>190</v>
      </c>
      <c r="D6" s="4" t="s">
        <v>183</v>
      </c>
      <c r="E6" s="3" t="s">
        <v>184</v>
      </c>
      <c r="F6" s="2" t="s">
        <v>185</v>
      </c>
      <c r="G6" s="7" t="s">
        <v>92</v>
      </c>
      <c r="H6" s="2"/>
      <c r="I6" s="2"/>
      <c r="J6" s="3"/>
      <c r="K6" s="2"/>
    </row>
    <row r="7" spans="1:11" ht="18" customHeight="1" x14ac:dyDescent="0.2">
      <c r="A7" s="5">
        <v>4</v>
      </c>
      <c r="B7" s="6" t="s">
        <v>191</v>
      </c>
      <c r="C7" s="5" t="s">
        <v>192</v>
      </c>
      <c r="D7" s="4" t="s">
        <v>183</v>
      </c>
      <c r="E7" s="6" t="s">
        <v>184</v>
      </c>
      <c r="F7" s="5" t="s">
        <v>185</v>
      </c>
      <c r="G7" s="7" t="s">
        <v>92</v>
      </c>
      <c r="H7" s="5"/>
      <c r="I7" s="5"/>
      <c r="J7" s="6"/>
      <c r="K7" s="5"/>
    </row>
    <row r="8" spans="1:11" ht="18" customHeight="1" x14ac:dyDescent="0.2">
      <c r="A8" s="2">
        <v>5</v>
      </c>
      <c r="B8" s="3" t="s">
        <v>193</v>
      </c>
      <c r="C8" s="2" t="s">
        <v>194</v>
      </c>
      <c r="D8" s="4" t="s">
        <v>183</v>
      </c>
      <c r="E8" s="3" t="s">
        <v>184</v>
      </c>
      <c r="F8" s="2" t="s">
        <v>185</v>
      </c>
      <c r="G8" s="4" t="s">
        <v>20</v>
      </c>
      <c r="H8" s="2"/>
      <c r="I8" s="2"/>
      <c r="J8" s="3"/>
      <c r="K8" s="2"/>
    </row>
    <row r="9" spans="1:11" ht="18" customHeight="1" x14ac:dyDescent="0.2">
      <c r="A9" s="5">
        <v>6</v>
      </c>
      <c r="B9" s="6" t="s">
        <v>195</v>
      </c>
      <c r="C9" s="5" t="s">
        <v>194</v>
      </c>
      <c r="D9" s="4" t="s">
        <v>183</v>
      </c>
      <c r="E9" s="6" t="s">
        <v>184</v>
      </c>
      <c r="F9" s="5" t="s">
        <v>185</v>
      </c>
      <c r="G9" s="4" t="s">
        <v>20</v>
      </c>
      <c r="H9" s="5"/>
      <c r="I9" s="5"/>
      <c r="J9" s="6"/>
      <c r="K9" s="5"/>
    </row>
    <row r="10" spans="1:11" ht="18" customHeight="1" x14ac:dyDescent="0.2">
      <c r="A10" s="2">
        <v>7</v>
      </c>
      <c r="B10" s="3" t="s">
        <v>196</v>
      </c>
      <c r="C10" s="2" t="s">
        <v>197</v>
      </c>
      <c r="D10" s="4" t="s">
        <v>183</v>
      </c>
      <c r="E10" s="3" t="s">
        <v>184</v>
      </c>
      <c r="F10" s="2" t="s">
        <v>185</v>
      </c>
      <c r="G10" s="4" t="s">
        <v>20</v>
      </c>
      <c r="H10" s="2"/>
      <c r="I10" s="2"/>
      <c r="J10" s="3"/>
      <c r="K10" s="2"/>
    </row>
    <row r="11" spans="1:11" ht="18" customHeight="1" x14ac:dyDescent="0.2">
      <c r="A11" s="5">
        <v>8</v>
      </c>
      <c r="B11" s="6" t="s">
        <v>198</v>
      </c>
      <c r="C11" s="5" t="s">
        <v>199</v>
      </c>
      <c r="D11" s="4" t="s">
        <v>183</v>
      </c>
      <c r="E11" s="6" t="s">
        <v>184</v>
      </c>
      <c r="F11" s="5" t="s">
        <v>185</v>
      </c>
      <c r="G11" s="7" t="s">
        <v>92</v>
      </c>
      <c r="H11" s="5"/>
      <c r="I11" s="5"/>
      <c r="J11" s="6"/>
      <c r="K11" s="5"/>
    </row>
    <row r="12" spans="1:11" ht="18" customHeight="1" x14ac:dyDescent="0.2">
      <c r="A12" s="2">
        <v>9</v>
      </c>
      <c r="B12" s="3" t="s">
        <v>200</v>
      </c>
      <c r="C12" s="2" t="s">
        <v>201</v>
      </c>
      <c r="D12" s="4" t="s">
        <v>183</v>
      </c>
      <c r="E12" s="3" t="s">
        <v>202</v>
      </c>
      <c r="F12" s="2" t="s">
        <v>185</v>
      </c>
      <c r="G12" s="4" t="s">
        <v>20</v>
      </c>
      <c r="H12" s="2"/>
      <c r="I12" s="2"/>
      <c r="J12" s="3"/>
      <c r="K12" s="2"/>
    </row>
    <row r="13" spans="1:11" ht="18" customHeight="1" x14ac:dyDescent="0.2">
      <c r="A13" s="5">
        <v>10</v>
      </c>
      <c r="B13" s="6" t="s">
        <v>203</v>
      </c>
      <c r="C13" s="5" t="s">
        <v>204</v>
      </c>
      <c r="D13" s="4" t="s">
        <v>183</v>
      </c>
      <c r="E13" s="6" t="s">
        <v>202</v>
      </c>
      <c r="F13" s="5" t="s">
        <v>185</v>
      </c>
      <c r="G13" s="4" t="s">
        <v>20</v>
      </c>
      <c r="H13" s="5"/>
      <c r="I13" s="5"/>
      <c r="J13" s="6"/>
      <c r="K13" s="5"/>
    </row>
    <row r="14" spans="1:11" ht="18" customHeight="1" x14ac:dyDescent="0.2">
      <c r="A14" s="2">
        <v>11</v>
      </c>
      <c r="B14" s="3" t="s">
        <v>205</v>
      </c>
      <c r="C14" s="2" t="s">
        <v>206</v>
      </c>
      <c r="D14" s="4" t="s">
        <v>183</v>
      </c>
      <c r="E14" s="3" t="s">
        <v>202</v>
      </c>
      <c r="F14" s="2" t="s">
        <v>185</v>
      </c>
      <c r="G14" s="4" t="s">
        <v>20</v>
      </c>
      <c r="H14" s="2"/>
      <c r="I14" s="2"/>
      <c r="J14" s="3"/>
      <c r="K14" s="2"/>
    </row>
    <row r="15" spans="1:11" ht="18" customHeight="1" x14ac:dyDescent="0.2">
      <c r="A15" s="5">
        <v>12</v>
      </c>
      <c r="B15" s="6" t="s">
        <v>207</v>
      </c>
      <c r="C15" s="5" t="s">
        <v>208</v>
      </c>
      <c r="D15" s="4" t="s">
        <v>183</v>
      </c>
      <c r="E15" s="6" t="s">
        <v>202</v>
      </c>
      <c r="F15" s="5" t="s">
        <v>185</v>
      </c>
      <c r="G15" s="4" t="s">
        <v>20</v>
      </c>
      <c r="H15" s="5"/>
      <c r="I15" s="5"/>
      <c r="J15" s="6"/>
      <c r="K15" s="5"/>
    </row>
    <row r="16" spans="1:11" ht="18" customHeight="1" x14ac:dyDescent="0.2">
      <c r="A16" s="2">
        <v>13</v>
      </c>
      <c r="B16" s="3" t="s">
        <v>209</v>
      </c>
      <c r="C16" s="2" t="s">
        <v>210</v>
      </c>
      <c r="D16" s="4" t="s">
        <v>183</v>
      </c>
      <c r="E16" s="3" t="s">
        <v>202</v>
      </c>
      <c r="F16" s="2" t="s">
        <v>185</v>
      </c>
      <c r="G16" s="4" t="s">
        <v>20</v>
      </c>
      <c r="H16" s="2"/>
      <c r="I16" s="2"/>
      <c r="J16" s="3"/>
      <c r="K16" s="2"/>
    </row>
    <row r="17" spans="1:11" ht="18" customHeight="1" x14ac:dyDescent="0.2">
      <c r="A17" s="5">
        <v>14</v>
      </c>
      <c r="B17" s="6" t="s">
        <v>211</v>
      </c>
      <c r="C17" s="5" t="s">
        <v>212</v>
      </c>
      <c r="D17" s="4" t="s">
        <v>183</v>
      </c>
      <c r="E17" s="6" t="s">
        <v>202</v>
      </c>
      <c r="F17" s="5" t="s">
        <v>185</v>
      </c>
      <c r="G17" s="7" t="s">
        <v>92</v>
      </c>
      <c r="H17" s="5"/>
      <c r="I17" s="5"/>
      <c r="J17" s="6"/>
      <c r="K17" s="5"/>
    </row>
    <row r="18" spans="1:11" ht="18" customHeight="1" x14ac:dyDescent="0.2">
      <c r="A18" s="2">
        <v>15</v>
      </c>
      <c r="B18" s="3" t="s">
        <v>213</v>
      </c>
      <c r="C18" s="2" t="s">
        <v>214</v>
      </c>
      <c r="D18" s="4" t="s">
        <v>183</v>
      </c>
      <c r="E18" s="3" t="s">
        <v>202</v>
      </c>
      <c r="F18" s="2" t="s">
        <v>185</v>
      </c>
      <c r="G18" s="4" t="s">
        <v>20</v>
      </c>
      <c r="H18" s="2"/>
      <c r="I18" s="2"/>
      <c r="J18" s="3"/>
      <c r="K18" s="2"/>
    </row>
    <row r="19" spans="1:11" ht="18" customHeight="1" x14ac:dyDescent="0.2">
      <c r="A19" s="5">
        <v>16</v>
      </c>
      <c r="B19" s="6" t="s">
        <v>215</v>
      </c>
      <c r="C19" s="5" t="s">
        <v>216</v>
      </c>
      <c r="D19" s="4" t="s">
        <v>183</v>
      </c>
      <c r="E19" s="6" t="s">
        <v>202</v>
      </c>
      <c r="F19" s="5" t="s">
        <v>188</v>
      </c>
      <c r="G19" s="4" t="s">
        <v>20</v>
      </c>
      <c r="H19" s="5"/>
      <c r="I19" s="5"/>
      <c r="J19" s="6"/>
      <c r="K19" s="5"/>
    </row>
    <row r="20" spans="1:11" ht="18" customHeight="1" x14ac:dyDescent="0.2">
      <c r="A20" s="2">
        <v>17</v>
      </c>
      <c r="B20" s="3" t="s">
        <v>217</v>
      </c>
      <c r="C20" s="2" t="s">
        <v>218</v>
      </c>
      <c r="D20" s="4" t="s">
        <v>183</v>
      </c>
      <c r="E20" s="3" t="s">
        <v>219</v>
      </c>
      <c r="F20" s="2" t="s">
        <v>220</v>
      </c>
      <c r="G20" s="7" t="s">
        <v>92</v>
      </c>
      <c r="H20" s="2"/>
      <c r="I20" s="2"/>
      <c r="J20" s="3"/>
      <c r="K20" s="2"/>
    </row>
    <row r="21" spans="1:11" ht="18" customHeight="1" x14ac:dyDescent="0.2">
      <c r="A21" s="5">
        <v>18</v>
      </c>
      <c r="B21" s="6" t="s">
        <v>221</v>
      </c>
      <c r="C21" s="5" t="s">
        <v>222</v>
      </c>
      <c r="D21" s="4" t="s">
        <v>183</v>
      </c>
      <c r="E21" s="6" t="s">
        <v>223</v>
      </c>
      <c r="F21" s="5" t="s">
        <v>188</v>
      </c>
      <c r="G21" s="4" t="s">
        <v>20</v>
      </c>
      <c r="H21" s="5"/>
      <c r="I21" s="5"/>
      <c r="J21" s="6"/>
      <c r="K21" s="5"/>
    </row>
    <row r="22" spans="1:11" ht="18" customHeight="1" x14ac:dyDescent="0.2">
      <c r="A22" s="2">
        <v>19</v>
      </c>
      <c r="B22" s="3" t="s">
        <v>224</v>
      </c>
      <c r="C22" s="2" t="s">
        <v>225</v>
      </c>
      <c r="D22" s="4" t="s">
        <v>183</v>
      </c>
      <c r="E22" s="3" t="s">
        <v>223</v>
      </c>
      <c r="F22" s="2" t="s">
        <v>220</v>
      </c>
      <c r="G22" s="7" t="s">
        <v>92</v>
      </c>
      <c r="H22" s="2"/>
      <c r="I22" s="2"/>
      <c r="J22" s="3"/>
      <c r="K22" s="2"/>
    </row>
    <row r="23" spans="1:11" ht="18" customHeight="1" x14ac:dyDescent="0.2">
      <c r="A23" s="5">
        <v>20</v>
      </c>
      <c r="B23" s="6" t="s">
        <v>226</v>
      </c>
      <c r="C23" s="5" t="s">
        <v>227</v>
      </c>
      <c r="D23" s="4" t="s">
        <v>183</v>
      </c>
      <c r="E23" s="6" t="s">
        <v>228</v>
      </c>
      <c r="F23" s="5" t="s">
        <v>188</v>
      </c>
      <c r="G23" s="7" t="s">
        <v>92</v>
      </c>
      <c r="H23" s="5"/>
      <c r="I23" s="5"/>
      <c r="J23" s="6"/>
      <c r="K23" s="5"/>
    </row>
    <row r="24" spans="1:11" ht="18" customHeight="1" x14ac:dyDescent="0.2">
      <c r="A24" s="2">
        <v>21</v>
      </c>
      <c r="B24" s="3" t="s">
        <v>229</v>
      </c>
      <c r="C24" s="2" t="s">
        <v>230</v>
      </c>
      <c r="D24" s="4" t="s">
        <v>183</v>
      </c>
      <c r="E24" s="3" t="s">
        <v>223</v>
      </c>
      <c r="F24" s="2" t="s">
        <v>220</v>
      </c>
      <c r="G24" s="4" t="s">
        <v>20</v>
      </c>
      <c r="H24" s="2"/>
      <c r="I24" s="2"/>
      <c r="J24" s="3"/>
      <c r="K24" s="2"/>
    </row>
    <row r="25" spans="1:11" ht="18" customHeight="1" x14ac:dyDescent="0.2">
      <c r="A25" s="5">
        <v>22</v>
      </c>
      <c r="B25" s="6" t="s">
        <v>231</v>
      </c>
      <c r="C25" s="5" t="s">
        <v>232</v>
      </c>
      <c r="D25" s="4" t="s">
        <v>183</v>
      </c>
      <c r="E25" s="6" t="s">
        <v>223</v>
      </c>
      <c r="F25" s="5" t="s">
        <v>185</v>
      </c>
      <c r="G25" s="4" t="s">
        <v>20</v>
      </c>
      <c r="H25" s="5"/>
      <c r="I25" s="5"/>
      <c r="J25" s="6"/>
      <c r="K25" s="5"/>
    </row>
    <row r="26" spans="1:11" ht="18" customHeight="1" x14ac:dyDescent="0.2">
      <c r="A26" s="2">
        <v>23</v>
      </c>
      <c r="B26" s="3" t="s">
        <v>233</v>
      </c>
      <c r="C26" s="2" t="s">
        <v>234</v>
      </c>
      <c r="D26" s="8" t="s">
        <v>235</v>
      </c>
      <c r="E26" s="3" t="s">
        <v>236</v>
      </c>
      <c r="F26" s="2" t="s">
        <v>188</v>
      </c>
      <c r="G26" s="4" t="s">
        <v>20</v>
      </c>
      <c r="H26" s="2"/>
      <c r="I26" s="2"/>
      <c r="J26" s="3"/>
      <c r="K26" s="2"/>
    </row>
    <row r="27" spans="1:11" ht="18" customHeight="1" x14ac:dyDescent="0.2">
      <c r="A27" s="5">
        <v>24</v>
      </c>
      <c r="B27" s="6" t="s">
        <v>237</v>
      </c>
      <c r="C27" s="5" t="s">
        <v>238</v>
      </c>
      <c r="D27" s="8" t="s">
        <v>235</v>
      </c>
      <c r="E27" s="6" t="s">
        <v>236</v>
      </c>
      <c r="F27" s="5" t="s">
        <v>188</v>
      </c>
      <c r="G27" s="4" t="s">
        <v>20</v>
      </c>
      <c r="H27" s="5"/>
      <c r="I27" s="5"/>
      <c r="J27" s="6"/>
      <c r="K27" s="5"/>
    </row>
    <row r="28" spans="1:11" ht="18" customHeight="1" x14ac:dyDescent="0.2">
      <c r="A28" s="2">
        <v>25</v>
      </c>
      <c r="B28" s="3" t="s">
        <v>239</v>
      </c>
      <c r="C28" s="2" t="s">
        <v>240</v>
      </c>
      <c r="D28" s="8" t="s">
        <v>235</v>
      </c>
      <c r="E28" s="3" t="s">
        <v>236</v>
      </c>
      <c r="F28" s="2" t="s">
        <v>188</v>
      </c>
      <c r="G28" s="4" t="s">
        <v>20</v>
      </c>
      <c r="H28" s="2"/>
      <c r="I28" s="2"/>
      <c r="J28" s="3"/>
      <c r="K28" s="2"/>
    </row>
    <row r="29" spans="1:11" ht="18" customHeight="1" x14ac:dyDescent="0.2">
      <c r="A29" s="5">
        <v>26</v>
      </c>
      <c r="B29" s="6" t="s">
        <v>241</v>
      </c>
      <c r="C29" s="5" t="s">
        <v>242</v>
      </c>
      <c r="D29" s="8" t="s">
        <v>235</v>
      </c>
      <c r="E29" s="6" t="s">
        <v>236</v>
      </c>
      <c r="F29" s="5" t="s">
        <v>185</v>
      </c>
      <c r="G29" s="4" t="s">
        <v>20</v>
      </c>
      <c r="H29" s="5"/>
      <c r="I29" s="5"/>
      <c r="J29" s="6"/>
      <c r="K29" s="5"/>
    </row>
    <row r="30" spans="1:11" ht="18" customHeight="1" x14ac:dyDescent="0.2">
      <c r="A30" s="2">
        <v>27</v>
      </c>
      <c r="B30" s="3" t="s">
        <v>243</v>
      </c>
      <c r="C30" s="2" t="s">
        <v>244</v>
      </c>
      <c r="D30" s="8" t="s">
        <v>235</v>
      </c>
      <c r="E30" s="3" t="s">
        <v>236</v>
      </c>
      <c r="F30" s="2" t="s">
        <v>185</v>
      </c>
      <c r="G30" s="4" t="s">
        <v>20</v>
      </c>
      <c r="H30" s="2"/>
      <c r="I30" s="2"/>
      <c r="J30" s="3"/>
      <c r="K30" s="2"/>
    </row>
    <row r="31" spans="1:11" ht="18" customHeight="1" x14ac:dyDescent="0.2">
      <c r="A31" s="5">
        <v>28</v>
      </c>
      <c r="B31" s="6" t="s">
        <v>245</v>
      </c>
      <c r="C31" s="5" t="s">
        <v>246</v>
      </c>
      <c r="D31" s="8" t="s">
        <v>235</v>
      </c>
      <c r="E31" s="6" t="s">
        <v>236</v>
      </c>
      <c r="F31" s="5" t="s">
        <v>188</v>
      </c>
      <c r="G31" s="4" t="s">
        <v>20</v>
      </c>
      <c r="H31" s="5"/>
      <c r="I31" s="5"/>
      <c r="J31" s="6"/>
      <c r="K31" s="5"/>
    </row>
    <row r="32" spans="1:11" ht="18" customHeight="1" x14ac:dyDescent="0.2">
      <c r="A32" s="2">
        <v>29</v>
      </c>
      <c r="B32" s="3" t="s">
        <v>247</v>
      </c>
      <c r="C32" s="2" t="s">
        <v>248</v>
      </c>
      <c r="D32" s="8" t="s">
        <v>235</v>
      </c>
      <c r="E32" s="3" t="s">
        <v>236</v>
      </c>
      <c r="F32" s="2" t="s">
        <v>188</v>
      </c>
      <c r="G32" s="7" t="s">
        <v>92</v>
      </c>
      <c r="H32" s="2"/>
      <c r="I32" s="2"/>
      <c r="J32" s="3"/>
      <c r="K32" s="2"/>
    </row>
    <row r="33" spans="1:11" ht="18" customHeight="1" x14ac:dyDescent="0.2">
      <c r="A33" s="5">
        <v>30</v>
      </c>
      <c r="B33" s="6" t="s">
        <v>249</v>
      </c>
      <c r="C33" s="5" t="s">
        <v>250</v>
      </c>
      <c r="D33" s="8" t="s">
        <v>235</v>
      </c>
      <c r="E33" s="6" t="s">
        <v>236</v>
      </c>
      <c r="F33" s="5" t="s">
        <v>188</v>
      </c>
      <c r="G33" s="4" t="s">
        <v>20</v>
      </c>
      <c r="H33" s="5"/>
      <c r="I33" s="5"/>
      <c r="J33" s="6"/>
      <c r="K33" s="5"/>
    </row>
    <row r="34" spans="1:11" ht="18" customHeight="1" x14ac:dyDescent="0.2">
      <c r="A34" s="2">
        <v>31</v>
      </c>
      <c r="B34" s="3" t="s">
        <v>251</v>
      </c>
      <c r="C34" s="2" t="s">
        <v>252</v>
      </c>
      <c r="D34" s="8" t="s">
        <v>235</v>
      </c>
      <c r="E34" s="3" t="s">
        <v>236</v>
      </c>
      <c r="F34" s="2" t="s">
        <v>220</v>
      </c>
      <c r="G34" s="4" t="s">
        <v>20</v>
      </c>
      <c r="H34" s="2"/>
      <c r="I34" s="2"/>
      <c r="J34" s="3"/>
      <c r="K34" s="2"/>
    </row>
    <row r="35" spans="1:11" ht="18" customHeight="1" x14ac:dyDescent="0.2">
      <c r="A35" s="5">
        <v>32</v>
      </c>
      <c r="B35" s="6" t="s">
        <v>253</v>
      </c>
      <c r="C35" s="5" t="s">
        <v>254</v>
      </c>
      <c r="D35" s="8" t="s">
        <v>235</v>
      </c>
      <c r="E35" s="6" t="s">
        <v>255</v>
      </c>
      <c r="F35" s="5" t="s">
        <v>188</v>
      </c>
      <c r="G35" s="4" t="s">
        <v>20</v>
      </c>
      <c r="H35" s="5"/>
      <c r="I35" s="5"/>
      <c r="J35" s="6"/>
      <c r="K35" s="5"/>
    </row>
    <row r="36" spans="1:11" ht="18" customHeight="1" x14ac:dyDescent="0.2">
      <c r="A36" s="2">
        <v>33</v>
      </c>
      <c r="B36" s="3" t="s">
        <v>256</v>
      </c>
      <c r="C36" s="2" t="s">
        <v>257</v>
      </c>
      <c r="D36" s="8" t="s">
        <v>235</v>
      </c>
      <c r="E36" s="3" t="s">
        <v>255</v>
      </c>
      <c r="F36" s="2" t="s">
        <v>220</v>
      </c>
      <c r="G36" s="4" t="s">
        <v>20</v>
      </c>
      <c r="H36" s="2"/>
      <c r="I36" s="2"/>
      <c r="J36" s="3"/>
      <c r="K36" s="2"/>
    </row>
    <row r="37" spans="1:11" ht="18" customHeight="1" x14ac:dyDescent="0.2">
      <c r="A37" s="5">
        <v>34</v>
      </c>
      <c r="B37" s="6" t="s">
        <v>258</v>
      </c>
      <c r="C37" s="5" t="s">
        <v>259</v>
      </c>
      <c r="D37" s="8" t="s">
        <v>235</v>
      </c>
      <c r="E37" s="6" t="s">
        <v>260</v>
      </c>
      <c r="F37" s="5" t="s">
        <v>185</v>
      </c>
      <c r="G37" s="4" t="s">
        <v>20</v>
      </c>
      <c r="H37" s="5"/>
      <c r="I37" s="5"/>
      <c r="J37" s="6"/>
      <c r="K37" s="5"/>
    </row>
    <row r="38" spans="1:11" ht="18" customHeight="1" x14ac:dyDescent="0.2">
      <c r="A38" s="2">
        <v>35</v>
      </c>
      <c r="B38" s="3" t="s">
        <v>261</v>
      </c>
      <c r="C38" s="2" t="s">
        <v>262</v>
      </c>
      <c r="D38" s="8" t="s">
        <v>235</v>
      </c>
      <c r="E38" s="3" t="s">
        <v>263</v>
      </c>
      <c r="F38" s="2" t="s">
        <v>188</v>
      </c>
      <c r="G38" s="4" t="s">
        <v>20</v>
      </c>
      <c r="H38" s="2"/>
      <c r="I38" s="2"/>
      <c r="J38" s="3"/>
      <c r="K38" s="2"/>
    </row>
    <row r="39" spans="1:11" ht="18" customHeight="1" x14ac:dyDescent="0.2">
      <c r="A39" s="5">
        <v>36</v>
      </c>
      <c r="B39" s="6" t="s">
        <v>264</v>
      </c>
      <c r="C39" s="5" t="s">
        <v>265</v>
      </c>
      <c r="D39" s="8" t="s">
        <v>235</v>
      </c>
      <c r="E39" s="6" t="s">
        <v>263</v>
      </c>
      <c r="F39" s="5" t="s">
        <v>185</v>
      </c>
      <c r="G39" s="4" t="s">
        <v>20</v>
      </c>
      <c r="H39" s="5"/>
      <c r="I39" s="5"/>
      <c r="J39" s="6"/>
      <c r="K39" s="5"/>
    </row>
    <row r="40" spans="1:11" ht="18" customHeight="1" x14ac:dyDescent="0.2">
      <c r="A40" s="2">
        <v>37</v>
      </c>
      <c r="B40" s="3" t="s">
        <v>266</v>
      </c>
      <c r="C40" s="2" t="s">
        <v>267</v>
      </c>
      <c r="D40" s="8" t="s">
        <v>235</v>
      </c>
      <c r="E40" s="3" t="s">
        <v>260</v>
      </c>
      <c r="F40" s="2" t="s">
        <v>188</v>
      </c>
      <c r="G40" s="7" t="s">
        <v>92</v>
      </c>
      <c r="H40" s="2"/>
      <c r="I40" s="2"/>
      <c r="J40" s="3"/>
      <c r="K40" s="2"/>
    </row>
    <row r="41" spans="1:11" ht="18" customHeight="1" x14ac:dyDescent="0.2">
      <c r="A41" s="5">
        <v>38</v>
      </c>
      <c r="B41" s="6" t="s">
        <v>268</v>
      </c>
      <c r="C41" s="5" t="s">
        <v>269</v>
      </c>
      <c r="D41" s="8" t="s">
        <v>235</v>
      </c>
      <c r="E41" s="6" t="s">
        <v>260</v>
      </c>
      <c r="F41" s="5" t="s">
        <v>220</v>
      </c>
      <c r="G41" s="7" t="s">
        <v>92</v>
      </c>
      <c r="H41" s="5"/>
      <c r="I41" s="5"/>
      <c r="J41" s="6"/>
      <c r="K41" s="5"/>
    </row>
    <row r="42" spans="1:11" ht="18" customHeight="1" x14ac:dyDescent="0.2">
      <c r="A42" s="2">
        <v>39</v>
      </c>
      <c r="B42" s="3" t="s">
        <v>270</v>
      </c>
      <c r="C42" s="2" t="s">
        <v>271</v>
      </c>
      <c r="D42" s="8" t="s">
        <v>235</v>
      </c>
      <c r="E42" s="3" t="s">
        <v>260</v>
      </c>
      <c r="F42" s="2" t="s">
        <v>220</v>
      </c>
      <c r="G42" s="7" t="s">
        <v>92</v>
      </c>
      <c r="H42" s="2"/>
      <c r="I42" s="2"/>
      <c r="J42" s="3"/>
      <c r="K42" s="2"/>
    </row>
    <row r="43" spans="1:11" ht="18" customHeight="1" x14ac:dyDescent="0.2">
      <c r="A43" s="5">
        <v>40</v>
      </c>
      <c r="B43" s="6" t="s">
        <v>272</v>
      </c>
      <c r="C43" s="5" t="s">
        <v>273</v>
      </c>
      <c r="D43" s="8" t="s">
        <v>235</v>
      </c>
      <c r="E43" s="6" t="s">
        <v>274</v>
      </c>
      <c r="F43" s="5" t="s">
        <v>220</v>
      </c>
      <c r="G43" s="4" t="s">
        <v>20</v>
      </c>
      <c r="H43" s="5"/>
      <c r="I43" s="5"/>
      <c r="J43" s="6"/>
      <c r="K43" s="5"/>
    </row>
    <row r="44" spans="1:11" ht="18" customHeight="1" x14ac:dyDescent="0.2">
      <c r="A44" s="2">
        <v>41</v>
      </c>
      <c r="B44" s="3" t="s">
        <v>275</v>
      </c>
      <c r="C44" s="2" t="s">
        <v>276</v>
      </c>
      <c r="D44" s="8" t="s">
        <v>235</v>
      </c>
      <c r="E44" s="3" t="s">
        <v>277</v>
      </c>
      <c r="F44" s="2" t="s">
        <v>220</v>
      </c>
      <c r="G44" s="7" t="s">
        <v>92</v>
      </c>
      <c r="H44" s="2"/>
      <c r="I44" s="2"/>
      <c r="J44" s="3"/>
      <c r="K44" s="2"/>
    </row>
    <row r="45" spans="1:11" ht="18" customHeight="1" x14ac:dyDescent="0.2">
      <c r="A45" s="5">
        <v>42</v>
      </c>
      <c r="B45" s="6" t="s">
        <v>278</v>
      </c>
      <c r="C45" s="5" t="s">
        <v>279</v>
      </c>
      <c r="D45" s="8" t="s">
        <v>235</v>
      </c>
      <c r="E45" s="6" t="s">
        <v>277</v>
      </c>
      <c r="F45" s="5" t="s">
        <v>188</v>
      </c>
      <c r="G45" s="7" t="s">
        <v>92</v>
      </c>
      <c r="H45" s="5"/>
      <c r="I45" s="5"/>
      <c r="J45" s="6"/>
      <c r="K45" s="5"/>
    </row>
    <row r="46" spans="1:11" ht="18" customHeight="1" x14ac:dyDescent="0.2">
      <c r="A46" s="2">
        <v>43</v>
      </c>
      <c r="B46" s="3" t="s">
        <v>280</v>
      </c>
      <c r="C46" s="2" t="s">
        <v>281</v>
      </c>
      <c r="D46" s="7" t="s">
        <v>282</v>
      </c>
      <c r="E46" s="3" t="s">
        <v>283</v>
      </c>
      <c r="F46" s="2" t="s">
        <v>220</v>
      </c>
      <c r="G46" s="4" t="s">
        <v>20</v>
      </c>
      <c r="H46" s="2"/>
      <c r="I46" s="2"/>
      <c r="J46" s="3"/>
      <c r="K46" s="2"/>
    </row>
    <row r="47" spans="1:11" ht="18" customHeight="1" x14ac:dyDescent="0.2">
      <c r="A47" s="5">
        <v>44</v>
      </c>
      <c r="B47" s="6" t="s">
        <v>284</v>
      </c>
      <c r="C47" s="5" t="s">
        <v>285</v>
      </c>
      <c r="D47" s="7" t="s">
        <v>282</v>
      </c>
      <c r="E47" s="6" t="s">
        <v>283</v>
      </c>
      <c r="F47" s="5" t="s">
        <v>188</v>
      </c>
      <c r="G47" s="4" t="s">
        <v>20</v>
      </c>
      <c r="H47" s="5"/>
      <c r="I47" s="5"/>
      <c r="J47" s="6"/>
      <c r="K47" s="5"/>
    </row>
    <row r="48" spans="1:11" ht="18" customHeight="1" x14ac:dyDescent="0.2">
      <c r="A48" s="2">
        <v>45</v>
      </c>
      <c r="B48" s="3" t="s">
        <v>286</v>
      </c>
      <c r="C48" s="2" t="s">
        <v>287</v>
      </c>
      <c r="D48" s="7" t="s">
        <v>282</v>
      </c>
      <c r="E48" s="3" t="s">
        <v>283</v>
      </c>
      <c r="F48" s="2" t="s">
        <v>185</v>
      </c>
      <c r="G48" s="4" t="s">
        <v>20</v>
      </c>
      <c r="H48" s="2"/>
      <c r="I48" s="2"/>
      <c r="J48" s="3"/>
      <c r="K48" s="2"/>
    </row>
    <row r="49" spans="1:11" ht="18" customHeight="1" x14ac:dyDescent="0.2">
      <c r="A49" s="5">
        <v>46</v>
      </c>
      <c r="B49" s="6" t="s">
        <v>288</v>
      </c>
      <c r="C49" s="5" t="s">
        <v>289</v>
      </c>
      <c r="D49" s="7" t="s">
        <v>282</v>
      </c>
      <c r="E49" s="6" t="s">
        <v>283</v>
      </c>
      <c r="F49" s="5" t="s">
        <v>188</v>
      </c>
      <c r="G49" s="4" t="s">
        <v>20</v>
      </c>
      <c r="H49" s="5"/>
      <c r="I49" s="5"/>
      <c r="J49" s="6"/>
      <c r="K49" s="5"/>
    </row>
    <row r="50" spans="1:11" ht="18" customHeight="1" x14ac:dyDescent="0.2">
      <c r="A50" s="2">
        <v>47</v>
      </c>
      <c r="B50" s="3" t="s">
        <v>290</v>
      </c>
      <c r="C50" s="2" t="s">
        <v>291</v>
      </c>
      <c r="D50" s="7" t="s">
        <v>282</v>
      </c>
      <c r="E50" s="3" t="s">
        <v>283</v>
      </c>
      <c r="F50" s="2" t="s">
        <v>188</v>
      </c>
      <c r="G50" s="4" t="s">
        <v>20</v>
      </c>
      <c r="H50" s="2"/>
      <c r="I50" s="2"/>
      <c r="J50" s="3"/>
      <c r="K50" s="2"/>
    </row>
    <row r="51" spans="1:11" ht="18" customHeight="1" x14ac:dyDescent="0.2">
      <c r="A51" s="5">
        <v>48</v>
      </c>
      <c r="B51" s="6" t="s">
        <v>292</v>
      </c>
      <c r="C51" s="5" t="s">
        <v>293</v>
      </c>
      <c r="D51" s="7" t="s">
        <v>282</v>
      </c>
      <c r="E51" s="6" t="s">
        <v>283</v>
      </c>
      <c r="F51" s="5" t="s">
        <v>185</v>
      </c>
      <c r="G51" s="4" t="s">
        <v>20</v>
      </c>
      <c r="H51" s="5"/>
      <c r="I51" s="5"/>
      <c r="J51" s="6"/>
      <c r="K51" s="5"/>
    </row>
    <row r="52" spans="1:11" ht="18" customHeight="1" x14ac:dyDescent="0.2">
      <c r="A52" s="2">
        <v>49</v>
      </c>
      <c r="B52" s="3" t="s">
        <v>294</v>
      </c>
      <c r="C52" s="2" t="s">
        <v>295</v>
      </c>
      <c r="D52" s="7" t="s">
        <v>282</v>
      </c>
      <c r="E52" s="3" t="s">
        <v>283</v>
      </c>
      <c r="F52" s="2" t="s">
        <v>185</v>
      </c>
      <c r="G52" s="4" t="s">
        <v>20</v>
      </c>
      <c r="H52" s="2"/>
      <c r="I52" s="2"/>
      <c r="J52" s="3"/>
      <c r="K52" s="2"/>
    </row>
    <row r="53" spans="1:11" ht="18" customHeight="1" x14ac:dyDescent="0.2">
      <c r="A53" s="5">
        <v>50</v>
      </c>
      <c r="B53" s="6" t="s">
        <v>296</v>
      </c>
      <c r="C53" s="5" t="s">
        <v>297</v>
      </c>
      <c r="D53" s="7" t="s">
        <v>282</v>
      </c>
      <c r="E53" s="6" t="s">
        <v>283</v>
      </c>
      <c r="F53" s="5" t="s">
        <v>185</v>
      </c>
      <c r="G53" s="4" t="s">
        <v>20</v>
      </c>
      <c r="H53" s="5"/>
      <c r="I53" s="5"/>
      <c r="J53" s="6"/>
      <c r="K53" s="5"/>
    </row>
    <row r="54" spans="1:11" ht="18" customHeight="1" x14ac:dyDescent="0.2">
      <c r="A54" s="2">
        <v>51</v>
      </c>
      <c r="B54" s="3" t="s">
        <v>298</v>
      </c>
      <c r="C54" s="2" t="s">
        <v>299</v>
      </c>
      <c r="D54" s="7" t="s">
        <v>282</v>
      </c>
      <c r="E54" s="3" t="s">
        <v>283</v>
      </c>
      <c r="F54" s="2" t="s">
        <v>188</v>
      </c>
      <c r="G54" s="7" t="s">
        <v>92</v>
      </c>
      <c r="H54" s="2"/>
      <c r="I54" s="2"/>
      <c r="J54" s="3"/>
      <c r="K54" s="2"/>
    </row>
    <row r="55" spans="1:11" ht="18" customHeight="1" x14ac:dyDescent="0.2">
      <c r="A55" s="5">
        <v>52</v>
      </c>
      <c r="B55" s="6" t="s">
        <v>300</v>
      </c>
      <c r="C55" s="5" t="s">
        <v>301</v>
      </c>
      <c r="D55" s="7" t="s">
        <v>282</v>
      </c>
      <c r="E55" s="6" t="s">
        <v>283</v>
      </c>
      <c r="F55" s="5" t="s">
        <v>188</v>
      </c>
      <c r="G55" s="4" t="s">
        <v>20</v>
      </c>
      <c r="H55" s="5"/>
      <c r="I55" s="5"/>
      <c r="J55" s="6"/>
      <c r="K55" s="5"/>
    </row>
    <row r="56" spans="1:11" ht="18" customHeight="1" x14ac:dyDescent="0.2">
      <c r="A56" s="2">
        <v>53</v>
      </c>
      <c r="B56" s="3" t="s">
        <v>302</v>
      </c>
      <c r="C56" s="2" t="s">
        <v>303</v>
      </c>
      <c r="D56" s="7" t="s">
        <v>282</v>
      </c>
      <c r="E56" s="3" t="s">
        <v>283</v>
      </c>
      <c r="F56" s="2" t="s">
        <v>185</v>
      </c>
      <c r="G56" s="4" t="s">
        <v>20</v>
      </c>
      <c r="H56" s="2"/>
      <c r="I56" s="2"/>
      <c r="J56" s="3"/>
      <c r="K56" s="2"/>
    </row>
    <row r="57" spans="1:11" ht="18" customHeight="1" x14ac:dyDescent="0.2">
      <c r="A57" s="5">
        <v>54</v>
      </c>
      <c r="B57" s="6" t="s">
        <v>304</v>
      </c>
      <c r="C57" s="5" t="s">
        <v>305</v>
      </c>
      <c r="D57" s="7" t="s">
        <v>282</v>
      </c>
      <c r="E57" s="6" t="s">
        <v>306</v>
      </c>
      <c r="F57" s="5" t="s">
        <v>188</v>
      </c>
      <c r="G57" s="4" t="s">
        <v>20</v>
      </c>
      <c r="H57" s="5"/>
      <c r="I57" s="5"/>
      <c r="J57" s="6"/>
      <c r="K57" s="5"/>
    </row>
    <row r="58" spans="1:11" ht="18" customHeight="1" x14ac:dyDescent="0.2">
      <c r="A58" s="2">
        <v>55</v>
      </c>
      <c r="B58" s="3" t="s">
        <v>307</v>
      </c>
      <c r="C58" s="2" t="s">
        <v>308</v>
      </c>
      <c r="D58" s="7" t="s">
        <v>282</v>
      </c>
      <c r="E58" s="3" t="s">
        <v>309</v>
      </c>
      <c r="F58" s="2" t="s">
        <v>220</v>
      </c>
      <c r="G58" s="4" t="s">
        <v>20</v>
      </c>
      <c r="H58" s="2"/>
      <c r="I58" s="2"/>
      <c r="J58" s="3"/>
      <c r="K58" s="2"/>
    </row>
    <row r="59" spans="1:11" ht="18" customHeight="1" x14ac:dyDescent="0.2">
      <c r="A59" s="5">
        <v>56</v>
      </c>
      <c r="B59" s="6" t="s">
        <v>310</v>
      </c>
      <c r="C59" s="5" t="s">
        <v>311</v>
      </c>
      <c r="D59" s="7" t="s">
        <v>282</v>
      </c>
      <c r="E59" s="6" t="s">
        <v>312</v>
      </c>
      <c r="F59" s="5" t="s">
        <v>188</v>
      </c>
      <c r="G59" s="4" t="s">
        <v>20</v>
      </c>
      <c r="H59" s="5"/>
      <c r="I59" s="5"/>
      <c r="J59" s="6"/>
      <c r="K59" s="5"/>
    </row>
    <row r="60" spans="1:11" ht="18" customHeight="1" x14ac:dyDescent="0.2">
      <c r="A60" s="2">
        <v>57</v>
      </c>
      <c r="B60" s="3" t="s">
        <v>313</v>
      </c>
      <c r="C60" s="2" t="s">
        <v>314</v>
      </c>
      <c r="D60" s="7" t="s">
        <v>282</v>
      </c>
      <c r="E60" s="3" t="s">
        <v>312</v>
      </c>
      <c r="F60" s="2" t="s">
        <v>185</v>
      </c>
      <c r="G60" s="4" t="s">
        <v>20</v>
      </c>
      <c r="H60" s="2"/>
      <c r="I60" s="2"/>
      <c r="J60" s="3"/>
      <c r="K60" s="2"/>
    </row>
    <row r="61" spans="1:11" ht="18" customHeight="1" x14ac:dyDescent="0.2">
      <c r="A61" s="5">
        <v>58</v>
      </c>
      <c r="B61" s="6" t="s">
        <v>315</v>
      </c>
      <c r="C61" s="5" t="s">
        <v>316</v>
      </c>
      <c r="D61" s="7" t="s">
        <v>282</v>
      </c>
      <c r="E61" s="6" t="s">
        <v>309</v>
      </c>
      <c r="F61" s="5" t="s">
        <v>220</v>
      </c>
      <c r="G61" s="4" t="s">
        <v>20</v>
      </c>
      <c r="H61" s="5"/>
      <c r="I61" s="5"/>
      <c r="J61" s="6"/>
      <c r="K61" s="5"/>
    </row>
    <row r="62" spans="1:11" ht="18" customHeight="1" x14ac:dyDescent="0.2">
      <c r="A62" s="2">
        <v>59</v>
      </c>
      <c r="B62" s="3" t="s">
        <v>317</v>
      </c>
      <c r="C62" s="2" t="s">
        <v>318</v>
      </c>
      <c r="D62" s="7" t="s">
        <v>282</v>
      </c>
      <c r="E62" s="3" t="s">
        <v>309</v>
      </c>
      <c r="F62" s="2" t="s">
        <v>188</v>
      </c>
      <c r="G62" s="7" t="s">
        <v>92</v>
      </c>
      <c r="H62" s="2"/>
      <c r="I62" s="2"/>
      <c r="J62" s="3"/>
      <c r="K62" s="2"/>
    </row>
    <row r="63" spans="1:11" ht="18" customHeight="1" x14ac:dyDescent="0.2">
      <c r="A63" s="5">
        <v>60</v>
      </c>
      <c r="B63" s="6" t="s">
        <v>319</v>
      </c>
      <c r="C63" s="5" t="s">
        <v>320</v>
      </c>
      <c r="D63" s="7" t="s">
        <v>282</v>
      </c>
      <c r="E63" s="6" t="s">
        <v>312</v>
      </c>
      <c r="F63" s="5" t="s">
        <v>220</v>
      </c>
      <c r="G63" s="4" t="s">
        <v>20</v>
      </c>
      <c r="H63" s="5"/>
      <c r="I63" s="5"/>
      <c r="J63" s="6"/>
      <c r="K63" s="5"/>
    </row>
    <row r="64" spans="1:11" ht="18" customHeight="1" x14ac:dyDescent="0.2">
      <c r="A64" s="2">
        <v>61</v>
      </c>
      <c r="B64" s="3" t="s">
        <v>321</v>
      </c>
      <c r="C64" s="2" t="s">
        <v>322</v>
      </c>
      <c r="D64" s="7" t="s">
        <v>282</v>
      </c>
      <c r="E64" s="3" t="s">
        <v>309</v>
      </c>
      <c r="F64" s="2" t="s">
        <v>220</v>
      </c>
      <c r="G64" s="7" t="s">
        <v>92</v>
      </c>
      <c r="H64" s="2"/>
      <c r="I64" s="2"/>
      <c r="J64" s="3"/>
      <c r="K64" s="2"/>
    </row>
    <row r="65" spans="1:13" ht="18" customHeight="1" x14ac:dyDescent="0.2">
      <c r="A65" s="5">
        <v>62</v>
      </c>
      <c r="B65" s="6" t="s">
        <v>323</v>
      </c>
      <c r="C65" s="5" t="s">
        <v>324</v>
      </c>
      <c r="D65" s="7" t="s">
        <v>282</v>
      </c>
      <c r="E65" s="6" t="s">
        <v>325</v>
      </c>
      <c r="F65" s="5" t="s">
        <v>185</v>
      </c>
      <c r="G65" s="4" t="s">
        <v>20</v>
      </c>
      <c r="H65" s="5"/>
      <c r="I65" s="5"/>
      <c r="J65" s="6"/>
      <c r="K65" s="5"/>
    </row>
    <row r="66" spans="1:13" ht="18" customHeight="1" x14ac:dyDescent="0.2">
      <c r="A66" s="2">
        <v>63</v>
      </c>
      <c r="B66" s="3" t="s">
        <v>326</v>
      </c>
      <c r="C66" s="2" t="s">
        <v>327</v>
      </c>
      <c r="D66" s="7" t="s">
        <v>282</v>
      </c>
      <c r="E66" s="3" t="s">
        <v>325</v>
      </c>
      <c r="F66" s="2" t="s">
        <v>220</v>
      </c>
      <c r="G66" s="4" t="s">
        <v>20</v>
      </c>
      <c r="H66" s="2"/>
      <c r="I66" s="2"/>
      <c r="J66" s="3"/>
      <c r="K66" s="2"/>
    </row>
    <row r="67" spans="1:13" ht="18" customHeight="1" x14ac:dyDescent="0.2">
      <c r="A67" s="5">
        <v>64</v>
      </c>
      <c r="B67" s="6" t="s">
        <v>328</v>
      </c>
      <c r="C67" s="5" t="s">
        <v>329</v>
      </c>
      <c r="D67" s="7" t="s">
        <v>282</v>
      </c>
      <c r="E67" s="6" t="s">
        <v>325</v>
      </c>
      <c r="F67" s="5" t="s">
        <v>220</v>
      </c>
      <c r="G67" s="4" t="s">
        <v>20</v>
      </c>
      <c r="H67" s="5"/>
      <c r="I67" s="5"/>
      <c r="J67" s="6"/>
      <c r="K67" s="5"/>
    </row>
    <row r="68" spans="1:13" ht="18" customHeight="1" x14ac:dyDescent="0.2">
      <c r="A68" s="2">
        <v>65</v>
      </c>
      <c r="B68" s="3" t="s">
        <v>330</v>
      </c>
      <c r="C68" s="2" t="s">
        <v>331</v>
      </c>
      <c r="D68" s="7" t="s">
        <v>282</v>
      </c>
      <c r="E68" s="3" t="s">
        <v>325</v>
      </c>
      <c r="F68" s="2" t="s">
        <v>220</v>
      </c>
      <c r="G68" s="7" t="s">
        <v>92</v>
      </c>
      <c r="H68" s="2"/>
      <c r="I68" s="2"/>
      <c r="J68" s="3"/>
      <c r="K68" s="2"/>
    </row>
    <row r="69" spans="1:13" ht="18" customHeight="1" x14ac:dyDescent="0.2">
      <c r="A69" s="5">
        <v>66</v>
      </c>
      <c r="B69" s="6" t="s">
        <v>332</v>
      </c>
      <c r="C69" s="5" t="s">
        <v>333</v>
      </c>
      <c r="D69" s="7" t="s">
        <v>282</v>
      </c>
      <c r="E69" s="6" t="s">
        <v>325</v>
      </c>
      <c r="F69" s="5" t="s">
        <v>185</v>
      </c>
      <c r="G69" s="4" t="s">
        <v>20</v>
      </c>
      <c r="H69" s="5"/>
      <c r="I69" s="5"/>
      <c r="J69" s="6"/>
      <c r="K69" s="5"/>
    </row>
    <row r="70" spans="1:13" x14ac:dyDescent="0.2"/>
    <row r="71" spans="1:13" ht="21.75" customHeight="1" x14ac:dyDescent="0.2">
      <c r="A71" s="118" t="s">
        <v>334</v>
      </c>
      <c r="B71" s="113"/>
      <c r="C71" s="113"/>
      <c r="D71" s="9" t="s">
        <v>335</v>
      </c>
      <c r="E71" s="10">
        <f>COUNTA(B4:B69)</f>
        <v>66</v>
      </c>
      <c r="F71" s="9" t="s">
        <v>183</v>
      </c>
      <c r="G71" s="10">
        <f>COUNTIF(D4:D69,"Healthcare")</f>
        <v>22</v>
      </c>
      <c r="H71" s="9" t="s">
        <v>336</v>
      </c>
      <c r="I71" s="10">
        <f>COUNTIF(D4:D69,"Law Firm")</f>
        <v>20</v>
      </c>
      <c r="J71" s="9" t="s">
        <v>282</v>
      </c>
      <c r="K71" s="10">
        <f>COUNTIF(D4:D69,"Construction / Contracting")</f>
        <v>24</v>
      </c>
      <c r="L71" s="9" t="s">
        <v>337</v>
      </c>
      <c r="M71" s="10">
        <f>COUNTIF(G4:G69,"High")</f>
        <v>49</v>
      </c>
    </row>
    <row r="72" spans="1:13" x14ac:dyDescent="0.2"/>
    <row r="73" spans="1:13" ht="15" customHeight="1" x14ac:dyDescent="0.2">
      <c r="A73" s="122" t="s">
        <v>338</v>
      </c>
      <c r="B73" s="113"/>
      <c r="C73" s="113"/>
      <c r="D73" s="113"/>
      <c r="E73" s="113"/>
      <c r="F73" s="113"/>
      <c r="G73" s="113"/>
      <c r="H73" s="113"/>
      <c r="I73" s="113"/>
      <c r="J73" s="113"/>
      <c r="K73" s="113"/>
    </row>
    <row r="74" spans="1:13" ht="18" customHeight="1" x14ac:dyDescent="0.2">
      <c r="A74" s="11">
        <v>67</v>
      </c>
      <c r="B74" s="12" t="s">
        <v>339</v>
      </c>
      <c r="C74" s="11" t="s">
        <v>340</v>
      </c>
      <c r="D74" s="13" t="s">
        <v>17</v>
      </c>
      <c r="E74" s="12" t="s">
        <v>18</v>
      </c>
      <c r="F74" s="11" t="s">
        <v>188</v>
      </c>
      <c r="G74" s="14" t="s">
        <v>20</v>
      </c>
      <c r="H74" s="11"/>
      <c r="I74" s="11"/>
      <c r="J74" s="12"/>
      <c r="K74" s="11"/>
    </row>
    <row r="75" spans="1:13" ht="18" customHeight="1" x14ac:dyDescent="0.2">
      <c r="A75" s="15">
        <v>68</v>
      </c>
      <c r="B75" s="16" t="s">
        <v>341</v>
      </c>
      <c r="C75" s="15" t="s">
        <v>342</v>
      </c>
      <c r="D75" s="13" t="s">
        <v>17</v>
      </c>
      <c r="E75" s="16" t="s">
        <v>64</v>
      </c>
      <c r="F75" s="15" t="s">
        <v>188</v>
      </c>
      <c r="G75" s="14" t="s">
        <v>20</v>
      </c>
      <c r="H75" s="15"/>
      <c r="I75" s="15"/>
      <c r="J75" s="16"/>
      <c r="K75" s="15"/>
    </row>
    <row r="76" spans="1:13" ht="18" customHeight="1" x14ac:dyDescent="0.2">
      <c r="A76" s="11">
        <v>69</v>
      </c>
      <c r="B76" s="12" t="s">
        <v>343</v>
      </c>
      <c r="C76" s="11" t="s">
        <v>344</v>
      </c>
      <c r="D76" s="13" t="s">
        <v>17</v>
      </c>
      <c r="E76" s="12" t="s">
        <v>345</v>
      </c>
      <c r="F76" s="11" t="s">
        <v>220</v>
      </c>
      <c r="G76" s="14" t="s">
        <v>20</v>
      </c>
      <c r="H76" s="11"/>
      <c r="I76" s="11"/>
      <c r="J76" s="12"/>
      <c r="K76" s="11"/>
    </row>
    <row r="77" spans="1:13" ht="18" customHeight="1" x14ac:dyDescent="0.2">
      <c r="A77" s="15">
        <v>70</v>
      </c>
      <c r="B77" s="16" t="s">
        <v>346</v>
      </c>
      <c r="C77" s="15" t="s">
        <v>347</v>
      </c>
      <c r="D77" s="13" t="s">
        <v>17</v>
      </c>
      <c r="E77" s="16" t="s">
        <v>348</v>
      </c>
      <c r="F77" s="15" t="s">
        <v>188</v>
      </c>
      <c r="G77" s="14" t="s">
        <v>20</v>
      </c>
      <c r="H77" s="15"/>
      <c r="I77" s="15"/>
      <c r="J77" s="16"/>
      <c r="K77" s="15"/>
    </row>
    <row r="78" spans="1:13" ht="18" customHeight="1" x14ac:dyDescent="0.2">
      <c r="A78" s="11">
        <v>71</v>
      </c>
      <c r="B78" s="12" t="s">
        <v>349</v>
      </c>
      <c r="C78" s="11" t="s">
        <v>350</v>
      </c>
      <c r="D78" s="13" t="s">
        <v>17</v>
      </c>
      <c r="E78" s="12" t="s">
        <v>64</v>
      </c>
      <c r="F78" s="11" t="s">
        <v>220</v>
      </c>
      <c r="G78" s="14" t="s">
        <v>20</v>
      </c>
      <c r="H78" s="11"/>
      <c r="I78" s="11"/>
      <c r="J78" s="12"/>
      <c r="K78" s="11"/>
    </row>
    <row r="79" spans="1:13" ht="18" customHeight="1" x14ac:dyDescent="0.2">
      <c r="A79" s="15">
        <v>72</v>
      </c>
      <c r="B79" s="16" t="s">
        <v>351</v>
      </c>
      <c r="C79" s="15" t="s">
        <v>352</v>
      </c>
      <c r="D79" s="13" t="s">
        <v>17</v>
      </c>
      <c r="E79" s="16" t="s">
        <v>353</v>
      </c>
      <c r="F79" s="15" t="s">
        <v>354</v>
      </c>
      <c r="G79" s="14" t="s">
        <v>20</v>
      </c>
      <c r="H79" s="15"/>
      <c r="I79" s="15"/>
      <c r="J79" s="16"/>
      <c r="K79" s="15"/>
    </row>
    <row r="80" spans="1:13" ht="18" customHeight="1" x14ac:dyDescent="0.2">
      <c r="A80" s="11">
        <v>73</v>
      </c>
      <c r="B80" s="12" t="s">
        <v>355</v>
      </c>
      <c r="C80" s="11" t="s">
        <v>356</v>
      </c>
      <c r="D80" s="13" t="s">
        <v>17</v>
      </c>
      <c r="E80" s="12" t="s">
        <v>116</v>
      </c>
      <c r="F80" s="11" t="s">
        <v>188</v>
      </c>
      <c r="G80" s="14" t="s">
        <v>20</v>
      </c>
      <c r="H80" s="11"/>
      <c r="I80" s="11"/>
      <c r="J80" s="12"/>
      <c r="K80" s="11"/>
    </row>
    <row r="81" spans="1:11" ht="18" customHeight="1" x14ac:dyDescent="0.2">
      <c r="A81" s="15">
        <v>74</v>
      </c>
      <c r="B81" s="16" t="s">
        <v>357</v>
      </c>
      <c r="C81" s="15" t="s">
        <v>358</v>
      </c>
      <c r="D81" s="13" t="s">
        <v>17</v>
      </c>
      <c r="E81" s="16" t="s">
        <v>64</v>
      </c>
      <c r="F81" s="15" t="s">
        <v>354</v>
      </c>
      <c r="G81" s="14" t="s">
        <v>20</v>
      </c>
      <c r="H81" s="15"/>
      <c r="I81" s="15"/>
      <c r="J81" s="16"/>
      <c r="K81" s="15"/>
    </row>
    <row r="82" spans="1:11" ht="18" customHeight="1" x14ac:dyDescent="0.2">
      <c r="A82" s="11">
        <v>75</v>
      </c>
      <c r="B82" s="12" t="s">
        <v>359</v>
      </c>
      <c r="C82" s="11" t="s">
        <v>360</v>
      </c>
      <c r="D82" s="13" t="s">
        <v>17</v>
      </c>
      <c r="E82" s="12" t="s">
        <v>64</v>
      </c>
      <c r="F82" s="11" t="s">
        <v>188</v>
      </c>
      <c r="G82" s="17" t="s">
        <v>92</v>
      </c>
      <c r="H82" s="11"/>
      <c r="I82" s="11"/>
      <c r="J82" s="12"/>
      <c r="K82" s="11"/>
    </row>
    <row r="83" spans="1:11" ht="18" customHeight="1" x14ac:dyDescent="0.2">
      <c r="A83" s="15">
        <v>76</v>
      </c>
      <c r="B83" s="16" t="s">
        <v>361</v>
      </c>
      <c r="C83" s="15" t="s">
        <v>362</v>
      </c>
      <c r="D83" s="13" t="s">
        <v>17</v>
      </c>
      <c r="E83" s="16" t="s">
        <v>363</v>
      </c>
      <c r="F83" s="15" t="s">
        <v>185</v>
      </c>
      <c r="G83" s="14" t="s">
        <v>20</v>
      </c>
      <c r="H83" s="15"/>
      <c r="I83" s="15"/>
      <c r="J83" s="16"/>
      <c r="K83" s="15"/>
    </row>
    <row r="84" spans="1:11" ht="18" customHeight="1" x14ac:dyDescent="0.2">
      <c r="A84" s="11">
        <v>77</v>
      </c>
      <c r="B84" s="12" t="s">
        <v>364</v>
      </c>
      <c r="C84" s="11" t="s">
        <v>365</v>
      </c>
      <c r="D84" s="13" t="s">
        <v>17</v>
      </c>
      <c r="E84" s="12" t="s">
        <v>366</v>
      </c>
      <c r="F84" s="11" t="s">
        <v>188</v>
      </c>
      <c r="G84" s="14" t="s">
        <v>20</v>
      </c>
      <c r="H84" s="11"/>
      <c r="I84" s="11"/>
      <c r="J84" s="12"/>
      <c r="K84" s="11"/>
    </row>
    <row r="85" spans="1:11" ht="18" customHeight="1" x14ac:dyDescent="0.2">
      <c r="A85" s="15">
        <v>78</v>
      </c>
      <c r="B85" s="16" t="s">
        <v>367</v>
      </c>
      <c r="C85" s="15" t="s">
        <v>368</v>
      </c>
      <c r="D85" s="13" t="s">
        <v>17</v>
      </c>
      <c r="E85" s="16" t="s">
        <v>30</v>
      </c>
      <c r="F85" s="15" t="s">
        <v>188</v>
      </c>
      <c r="G85" s="14" t="s">
        <v>20</v>
      </c>
      <c r="H85" s="15"/>
      <c r="I85" s="15"/>
      <c r="J85" s="16"/>
      <c r="K85" s="15"/>
    </row>
    <row r="86" spans="1:11" ht="18" customHeight="1" x14ac:dyDescent="0.2">
      <c r="A86" s="11">
        <v>79</v>
      </c>
      <c r="B86" s="12" t="s">
        <v>369</v>
      </c>
      <c r="C86" s="11" t="s">
        <v>370</v>
      </c>
      <c r="D86" s="13" t="s">
        <v>17</v>
      </c>
      <c r="E86" s="12" t="s">
        <v>371</v>
      </c>
      <c r="F86" s="11" t="s">
        <v>188</v>
      </c>
      <c r="G86" s="14" t="s">
        <v>20</v>
      </c>
      <c r="H86" s="11"/>
      <c r="I86" s="11"/>
      <c r="J86" s="12"/>
      <c r="K86" s="11"/>
    </row>
    <row r="87" spans="1:11" ht="18" customHeight="1" x14ac:dyDescent="0.2">
      <c r="A87" s="15">
        <v>80</v>
      </c>
      <c r="B87" s="16" t="s">
        <v>372</v>
      </c>
      <c r="C87" s="15" t="s">
        <v>373</v>
      </c>
      <c r="D87" s="13" t="s">
        <v>17</v>
      </c>
      <c r="E87" s="16" t="s">
        <v>374</v>
      </c>
      <c r="F87" s="15" t="s">
        <v>220</v>
      </c>
      <c r="G87" s="14" t="s">
        <v>20</v>
      </c>
      <c r="H87" s="15"/>
      <c r="I87" s="15"/>
      <c r="J87" s="16"/>
      <c r="K87" s="15"/>
    </row>
    <row r="88" spans="1:11" ht="18" customHeight="1" x14ac:dyDescent="0.2">
      <c r="A88" s="11">
        <v>81</v>
      </c>
      <c r="B88" s="12" t="s">
        <v>375</v>
      </c>
      <c r="C88" s="11" t="s">
        <v>376</v>
      </c>
      <c r="D88" s="13" t="s">
        <v>17</v>
      </c>
      <c r="E88" s="12" t="s">
        <v>377</v>
      </c>
      <c r="F88" s="11" t="s">
        <v>188</v>
      </c>
      <c r="G88" s="14" t="s">
        <v>20</v>
      </c>
      <c r="H88" s="11"/>
      <c r="I88" s="11"/>
      <c r="J88" s="12"/>
      <c r="K88" s="11"/>
    </row>
    <row r="89" spans="1:11" ht="18" customHeight="1" x14ac:dyDescent="0.2">
      <c r="A89" s="15">
        <v>82</v>
      </c>
      <c r="B89" s="16" t="s">
        <v>378</v>
      </c>
      <c r="C89" s="15" t="s">
        <v>379</v>
      </c>
      <c r="D89" s="13" t="s">
        <v>17</v>
      </c>
      <c r="E89" s="16" t="s">
        <v>377</v>
      </c>
      <c r="F89" s="15" t="s">
        <v>185</v>
      </c>
      <c r="G89" s="14" t="s">
        <v>20</v>
      </c>
      <c r="H89" s="15"/>
      <c r="I89" s="15"/>
      <c r="J89" s="16"/>
      <c r="K89" s="15"/>
    </row>
    <row r="90" spans="1:11" ht="18" customHeight="1" x14ac:dyDescent="0.2">
      <c r="A90" s="11">
        <v>83</v>
      </c>
      <c r="B90" s="12" t="s">
        <v>380</v>
      </c>
      <c r="C90" s="11" t="s">
        <v>381</v>
      </c>
      <c r="D90" s="13" t="s">
        <v>17</v>
      </c>
      <c r="E90" s="12" t="s">
        <v>382</v>
      </c>
      <c r="F90" s="11" t="s">
        <v>188</v>
      </c>
      <c r="G90" s="14" t="s">
        <v>20</v>
      </c>
      <c r="H90" s="11"/>
      <c r="I90" s="11"/>
      <c r="J90" s="12"/>
      <c r="K90" s="11"/>
    </row>
    <row r="91" spans="1:11" ht="18" customHeight="1" x14ac:dyDescent="0.2">
      <c r="A91" s="15">
        <v>84</v>
      </c>
      <c r="B91" s="16" t="s">
        <v>383</v>
      </c>
      <c r="C91" s="15" t="s">
        <v>384</v>
      </c>
      <c r="D91" s="13" t="s">
        <v>17</v>
      </c>
      <c r="E91" s="16" t="s">
        <v>377</v>
      </c>
      <c r="F91" s="15" t="s">
        <v>185</v>
      </c>
      <c r="G91" s="14" t="s">
        <v>20</v>
      </c>
      <c r="H91" s="15"/>
      <c r="I91" s="15"/>
      <c r="J91" s="16"/>
      <c r="K91" s="15"/>
    </row>
    <row r="92" spans="1:11" ht="18" customHeight="1" x14ac:dyDescent="0.2">
      <c r="A92" s="11">
        <v>85</v>
      </c>
      <c r="B92" s="12" t="s">
        <v>385</v>
      </c>
      <c r="C92" s="11" t="s">
        <v>386</v>
      </c>
      <c r="D92" s="13" t="s">
        <v>17</v>
      </c>
      <c r="E92" s="12" t="s">
        <v>387</v>
      </c>
      <c r="F92" s="11" t="s">
        <v>185</v>
      </c>
      <c r="G92" s="14" t="s">
        <v>20</v>
      </c>
      <c r="H92" s="11"/>
      <c r="I92" s="11"/>
      <c r="J92" s="12"/>
      <c r="K92" s="11"/>
    </row>
    <row r="93" spans="1:11" ht="18" customHeight="1" x14ac:dyDescent="0.2">
      <c r="A93" s="15">
        <v>86</v>
      </c>
      <c r="B93" s="16" t="s">
        <v>388</v>
      </c>
      <c r="C93" s="15" t="s">
        <v>389</v>
      </c>
      <c r="D93" s="13" t="s">
        <v>17</v>
      </c>
      <c r="E93" s="16" t="s">
        <v>390</v>
      </c>
      <c r="F93" s="15" t="s">
        <v>185</v>
      </c>
      <c r="G93" s="14" t="s">
        <v>20</v>
      </c>
      <c r="H93" s="15"/>
      <c r="I93" s="15"/>
      <c r="J93" s="16"/>
      <c r="K93" s="15"/>
    </row>
    <row r="94" spans="1:11" ht="18" customHeight="1" x14ac:dyDescent="0.2">
      <c r="A94" s="11">
        <v>87</v>
      </c>
      <c r="B94" s="12" t="s">
        <v>391</v>
      </c>
      <c r="C94" s="11" t="s">
        <v>392</v>
      </c>
      <c r="D94" s="13" t="s">
        <v>17</v>
      </c>
      <c r="E94" s="12" t="s">
        <v>390</v>
      </c>
      <c r="F94" s="11" t="s">
        <v>185</v>
      </c>
      <c r="G94" s="14" t="s">
        <v>20</v>
      </c>
      <c r="H94" s="11"/>
      <c r="I94" s="11"/>
      <c r="J94" s="12"/>
      <c r="K94" s="11"/>
    </row>
    <row r="95" spans="1:11" ht="18" customHeight="1" x14ac:dyDescent="0.2">
      <c r="A95" s="15">
        <v>88</v>
      </c>
      <c r="B95" s="16" t="s">
        <v>393</v>
      </c>
      <c r="C95" s="15" t="s">
        <v>394</v>
      </c>
      <c r="D95" s="13" t="s">
        <v>17</v>
      </c>
      <c r="E95" s="16" t="s">
        <v>390</v>
      </c>
      <c r="F95" s="15" t="s">
        <v>185</v>
      </c>
      <c r="G95" s="14" t="s">
        <v>20</v>
      </c>
      <c r="H95" s="15"/>
      <c r="I95" s="15"/>
      <c r="J95" s="16"/>
      <c r="K95" s="15"/>
    </row>
    <row r="96" spans="1:11" ht="18" customHeight="1" x14ac:dyDescent="0.2">
      <c r="A96" s="11">
        <v>89</v>
      </c>
      <c r="B96" s="12" t="s">
        <v>395</v>
      </c>
      <c r="C96" s="11" t="s">
        <v>396</v>
      </c>
      <c r="D96" s="13" t="s">
        <v>17</v>
      </c>
      <c r="E96" s="12" t="s">
        <v>390</v>
      </c>
      <c r="F96" s="11" t="s">
        <v>220</v>
      </c>
      <c r="G96" s="14" t="s">
        <v>20</v>
      </c>
      <c r="H96" s="11"/>
      <c r="I96" s="11"/>
      <c r="J96" s="12"/>
      <c r="K96" s="11"/>
    </row>
    <row r="97" spans="1:13" ht="18" customHeight="1" x14ac:dyDescent="0.2">
      <c r="A97" s="15">
        <v>90</v>
      </c>
      <c r="B97" s="16" t="s">
        <v>397</v>
      </c>
      <c r="C97" s="15" t="s">
        <v>398</v>
      </c>
      <c r="D97" s="13" t="s">
        <v>17</v>
      </c>
      <c r="E97" s="16" t="s">
        <v>399</v>
      </c>
      <c r="F97" s="15" t="s">
        <v>188</v>
      </c>
      <c r="G97" s="14" t="s">
        <v>20</v>
      </c>
      <c r="H97" s="15"/>
      <c r="I97" s="15"/>
      <c r="J97" s="16"/>
      <c r="K97" s="15"/>
    </row>
    <row r="98" spans="1:13" ht="18" customHeight="1" x14ac:dyDescent="0.2">
      <c r="A98" s="11">
        <v>91</v>
      </c>
      <c r="B98" s="12" t="s">
        <v>400</v>
      </c>
      <c r="C98" s="11" t="s">
        <v>401</v>
      </c>
      <c r="D98" s="13" t="s">
        <v>17</v>
      </c>
      <c r="E98" s="12" t="s">
        <v>402</v>
      </c>
      <c r="F98" s="11" t="s">
        <v>185</v>
      </c>
      <c r="G98" s="14" t="s">
        <v>20</v>
      </c>
      <c r="H98" s="11"/>
      <c r="I98" s="11"/>
      <c r="J98" s="12"/>
      <c r="K98" s="11"/>
    </row>
    <row r="99" spans="1:13" ht="18" customHeight="1" x14ac:dyDescent="0.2">
      <c r="A99" s="15">
        <v>92</v>
      </c>
      <c r="B99" s="16" t="s">
        <v>403</v>
      </c>
      <c r="C99" s="15" t="s">
        <v>404</v>
      </c>
      <c r="D99" s="13" t="s">
        <v>17</v>
      </c>
      <c r="E99" s="16" t="s">
        <v>405</v>
      </c>
      <c r="F99" s="15" t="s">
        <v>188</v>
      </c>
      <c r="G99" s="14" t="s">
        <v>20</v>
      </c>
      <c r="H99" s="15"/>
      <c r="I99" s="15"/>
      <c r="J99" s="16"/>
      <c r="K99" s="15"/>
    </row>
    <row r="100" spans="1:13" ht="18" customHeight="1" x14ac:dyDescent="0.2">
      <c r="A100" s="11">
        <v>93</v>
      </c>
      <c r="B100" s="12" t="s">
        <v>406</v>
      </c>
      <c r="C100" s="11" t="s">
        <v>407</v>
      </c>
      <c r="D100" s="13" t="s">
        <v>17</v>
      </c>
      <c r="E100" s="12" t="s">
        <v>405</v>
      </c>
      <c r="F100" s="11" t="s">
        <v>220</v>
      </c>
      <c r="G100" s="17" t="s">
        <v>92</v>
      </c>
      <c r="H100" s="11"/>
      <c r="I100" s="11"/>
      <c r="J100" s="12"/>
      <c r="K100" s="11"/>
    </row>
    <row r="101" spans="1:13" ht="18" customHeight="1" x14ac:dyDescent="0.2">
      <c r="A101" s="15">
        <v>94</v>
      </c>
      <c r="B101" s="16" t="s">
        <v>408</v>
      </c>
      <c r="C101" s="15" t="s">
        <v>409</v>
      </c>
      <c r="D101" s="13" t="s">
        <v>17</v>
      </c>
      <c r="E101" s="16" t="s">
        <v>410</v>
      </c>
      <c r="F101" s="15" t="s">
        <v>188</v>
      </c>
      <c r="G101" s="14" t="s">
        <v>20</v>
      </c>
      <c r="H101" s="15"/>
      <c r="I101" s="15"/>
      <c r="J101" s="16"/>
      <c r="K101" s="15"/>
    </row>
    <row r="102" spans="1:13" ht="18" customHeight="1" x14ac:dyDescent="0.2">
      <c r="A102" s="11">
        <v>95</v>
      </c>
      <c r="B102" s="12" t="s">
        <v>411</v>
      </c>
      <c r="C102" s="11" t="s">
        <v>412</v>
      </c>
      <c r="D102" s="13" t="s">
        <v>17</v>
      </c>
      <c r="E102" s="12" t="s">
        <v>410</v>
      </c>
      <c r="F102" s="11" t="s">
        <v>188</v>
      </c>
      <c r="G102" s="14" t="s">
        <v>20</v>
      </c>
      <c r="H102" s="11"/>
      <c r="I102" s="11"/>
      <c r="J102" s="12"/>
      <c r="K102" s="11"/>
    </row>
    <row r="103" spans="1:13" ht="18" customHeight="1" x14ac:dyDescent="0.2">
      <c r="A103" s="44">
        <v>116</v>
      </c>
      <c r="B103" s="45" t="s">
        <v>15</v>
      </c>
      <c r="C103" s="44" t="s">
        <v>16</v>
      </c>
      <c r="D103" s="46" t="s">
        <v>17</v>
      </c>
      <c r="E103" s="45" t="s">
        <v>18</v>
      </c>
      <c r="F103" s="45" t="s">
        <v>19</v>
      </c>
      <c r="G103" s="47" t="s">
        <v>20</v>
      </c>
      <c r="H103" s="44"/>
      <c r="I103" s="44"/>
      <c r="J103" s="45"/>
      <c r="K103" s="44"/>
      <c r="L103" s="48"/>
      <c r="M103" s="48"/>
    </row>
    <row r="104" spans="1:13" ht="18" customHeight="1" x14ac:dyDescent="0.2">
      <c r="A104" s="49">
        <v>117</v>
      </c>
      <c r="B104" s="50" t="s">
        <v>24</v>
      </c>
      <c r="C104" s="49" t="s">
        <v>25</v>
      </c>
      <c r="D104" s="46" t="s">
        <v>17</v>
      </c>
      <c r="E104" s="50" t="s">
        <v>26</v>
      </c>
      <c r="F104" s="50" t="s">
        <v>19</v>
      </c>
      <c r="G104" s="47" t="s">
        <v>20</v>
      </c>
      <c r="H104" s="49"/>
      <c r="I104" s="49"/>
      <c r="J104" s="50"/>
      <c r="K104" s="49"/>
      <c r="L104" s="51"/>
      <c r="M104" s="51"/>
    </row>
    <row r="105" spans="1:13" ht="18" customHeight="1" x14ac:dyDescent="0.2">
      <c r="A105" s="44">
        <v>118</v>
      </c>
      <c r="B105" s="45" t="s">
        <v>28</v>
      </c>
      <c r="C105" s="44" t="s">
        <v>29</v>
      </c>
      <c r="D105" s="46" t="s">
        <v>17</v>
      </c>
      <c r="E105" s="45" t="s">
        <v>30</v>
      </c>
      <c r="F105" s="45" t="s">
        <v>19</v>
      </c>
      <c r="G105" s="47" t="s">
        <v>20</v>
      </c>
      <c r="H105" s="44"/>
      <c r="I105" s="44"/>
      <c r="J105" s="45"/>
      <c r="K105" s="44"/>
      <c r="L105" s="48"/>
      <c r="M105" s="48"/>
    </row>
    <row r="106" spans="1:13" ht="18" customHeight="1" x14ac:dyDescent="0.2">
      <c r="A106" s="49">
        <v>119</v>
      </c>
      <c r="B106" s="50" t="s">
        <v>32</v>
      </c>
      <c r="C106" s="49" t="s">
        <v>33</v>
      </c>
      <c r="D106" s="46" t="s">
        <v>17</v>
      </c>
      <c r="E106" s="50" t="s">
        <v>18</v>
      </c>
      <c r="F106" s="50" t="s">
        <v>19</v>
      </c>
      <c r="G106" s="47" t="s">
        <v>20</v>
      </c>
      <c r="H106" s="49"/>
      <c r="I106" s="49"/>
      <c r="J106" s="50"/>
      <c r="K106" s="49"/>
      <c r="L106" s="48"/>
      <c r="M106" s="48"/>
    </row>
    <row r="107" spans="1:13" ht="18" customHeight="1" x14ac:dyDescent="0.2">
      <c r="A107" s="44">
        <v>120</v>
      </c>
      <c r="B107" s="45" t="s">
        <v>35</v>
      </c>
      <c r="C107" s="44" t="s">
        <v>36</v>
      </c>
      <c r="D107" s="46" t="s">
        <v>17</v>
      </c>
      <c r="E107" s="45" t="s">
        <v>37</v>
      </c>
      <c r="F107" s="45" t="s">
        <v>38</v>
      </c>
      <c r="G107" s="47" t="s">
        <v>20</v>
      </c>
      <c r="H107" s="44"/>
      <c r="I107" s="44"/>
      <c r="J107" s="45"/>
      <c r="K107" s="44"/>
      <c r="L107" s="48"/>
      <c r="M107" s="48"/>
    </row>
    <row r="108" spans="1:13" ht="18" customHeight="1" x14ac:dyDescent="0.2">
      <c r="A108" s="49">
        <v>121</v>
      </c>
      <c r="B108" s="50" t="s">
        <v>39</v>
      </c>
      <c r="C108" s="49" t="s">
        <v>40</v>
      </c>
      <c r="D108" s="46" t="s">
        <v>17</v>
      </c>
      <c r="E108" s="50" t="s">
        <v>41</v>
      </c>
      <c r="F108" s="50" t="s">
        <v>38</v>
      </c>
      <c r="G108" s="47" t="s">
        <v>20</v>
      </c>
      <c r="H108" s="49"/>
      <c r="I108" s="49"/>
      <c r="J108" s="50"/>
      <c r="K108" s="49"/>
      <c r="L108" s="48"/>
      <c r="M108" s="48"/>
    </row>
    <row r="109" spans="1:13" ht="18" customHeight="1" x14ac:dyDescent="0.2">
      <c r="A109" s="44">
        <v>122</v>
      </c>
      <c r="B109" s="45" t="s">
        <v>42</v>
      </c>
      <c r="C109" s="44" t="s">
        <v>43</v>
      </c>
      <c r="D109" s="46" t="s">
        <v>17</v>
      </c>
      <c r="E109" s="45" t="s">
        <v>18</v>
      </c>
      <c r="F109" s="45" t="s">
        <v>38</v>
      </c>
      <c r="G109" s="47" t="s">
        <v>20</v>
      </c>
      <c r="H109" s="44"/>
      <c r="I109" s="44"/>
      <c r="J109" s="45"/>
      <c r="K109" s="44"/>
      <c r="L109" s="48"/>
      <c r="M109" s="48"/>
    </row>
    <row r="110" spans="1:13" ht="18" customHeight="1" x14ac:dyDescent="0.2">
      <c r="A110" s="49">
        <v>123</v>
      </c>
      <c r="B110" s="50" t="s">
        <v>44</v>
      </c>
      <c r="C110" s="49" t="s">
        <v>45</v>
      </c>
      <c r="D110" s="46" t="s">
        <v>17</v>
      </c>
      <c r="E110" s="50" t="s">
        <v>46</v>
      </c>
      <c r="F110" s="50" t="s">
        <v>38</v>
      </c>
      <c r="G110" s="47" t="s">
        <v>20</v>
      </c>
      <c r="H110" s="49"/>
      <c r="I110" s="49"/>
      <c r="J110" s="50"/>
      <c r="K110" s="49"/>
      <c r="L110" s="48"/>
      <c r="M110" s="48"/>
    </row>
    <row r="111" spans="1:13" ht="18" customHeight="1" x14ac:dyDescent="0.2">
      <c r="A111" s="44">
        <v>124</v>
      </c>
      <c r="B111" s="45" t="s">
        <v>47</v>
      </c>
      <c r="C111" s="44" t="s">
        <v>48</v>
      </c>
      <c r="D111" s="46" t="s">
        <v>17</v>
      </c>
      <c r="E111" s="45" t="s">
        <v>49</v>
      </c>
      <c r="F111" s="45" t="s">
        <v>38</v>
      </c>
      <c r="G111" s="47" t="s">
        <v>20</v>
      </c>
      <c r="H111" s="44"/>
      <c r="I111" s="44"/>
      <c r="J111" s="45"/>
      <c r="K111" s="44"/>
      <c r="L111" s="48"/>
      <c r="M111" s="48"/>
    </row>
    <row r="112" spans="1:13" ht="18" customHeight="1" x14ac:dyDescent="0.2">
      <c r="A112" s="49">
        <v>125</v>
      </c>
      <c r="B112" s="50" t="s">
        <v>50</v>
      </c>
      <c r="C112" s="49" t="s">
        <v>51</v>
      </c>
      <c r="D112" s="46" t="s">
        <v>17</v>
      </c>
      <c r="E112" s="50" t="s">
        <v>18</v>
      </c>
      <c r="F112" s="50" t="s">
        <v>52</v>
      </c>
      <c r="G112" s="52" t="s">
        <v>20</v>
      </c>
      <c r="H112" s="49"/>
      <c r="I112" s="49"/>
      <c r="J112" s="50"/>
      <c r="K112" s="49"/>
      <c r="L112" s="48"/>
      <c r="M112" s="48"/>
    </row>
    <row r="113" spans="1:11" ht="18" customHeight="1" x14ac:dyDescent="0.2">
      <c r="A113" s="44">
        <v>126</v>
      </c>
      <c r="B113" s="45" t="s">
        <v>54</v>
      </c>
      <c r="C113" s="44" t="s">
        <v>55</v>
      </c>
      <c r="D113" s="46" t="s">
        <v>17</v>
      </c>
      <c r="E113" s="45" t="s">
        <v>56</v>
      </c>
      <c r="F113" s="45" t="s">
        <v>57</v>
      </c>
      <c r="G113" s="47" t="s">
        <v>20</v>
      </c>
      <c r="H113" s="44"/>
      <c r="I113" s="44"/>
      <c r="J113" s="45"/>
      <c r="K113" s="44"/>
    </row>
    <row r="114" spans="1:11" ht="18" customHeight="1" x14ac:dyDescent="0.2">
      <c r="A114" s="49">
        <v>127</v>
      </c>
      <c r="B114" s="50" t="s">
        <v>58</v>
      </c>
      <c r="C114" s="49" t="s">
        <v>59</v>
      </c>
      <c r="D114" s="46" t="s">
        <v>17</v>
      </c>
      <c r="E114" s="50" t="s">
        <v>60</v>
      </c>
      <c r="F114" s="50" t="s">
        <v>61</v>
      </c>
      <c r="G114" s="47" t="s">
        <v>20</v>
      </c>
      <c r="H114" s="49"/>
      <c r="I114" s="49"/>
      <c r="J114" s="50"/>
      <c r="K114" s="49"/>
    </row>
    <row r="115" spans="1:11" ht="18" customHeight="1" x14ac:dyDescent="0.2">
      <c r="A115" s="44">
        <v>128</v>
      </c>
      <c r="B115" s="45" t="s">
        <v>62</v>
      </c>
      <c r="C115" s="44" t="s">
        <v>63</v>
      </c>
      <c r="D115" s="46" t="s">
        <v>17</v>
      </c>
      <c r="E115" s="45" t="s">
        <v>64</v>
      </c>
      <c r="F115" s="45" t="s">
        <v>57</v>
      </c>
      <c r="G115" s="47" t="s">
        <v>20</v>
      </c>
      <c r="H115" s="44"/>
      <c r="I115" s="44"/>
      <c r="J115" s="45"/>
      <c r="K115" s="44"/>
    </row>
    <row r="116" spans="1:11" ht="18" customHeight="1" x14ac:dyDescent="0.2">
      <c r="A116" s="49">
        <v>129</v>
      </c>
      <c r="B116" s="50" t="s">
        <v>65</v>
      </c>
      <c r="C116" s="49" t="s">
        <v>66</v>
      </c>
      <c r="D116" s="46" t="s">
        <v>17</v>
      </c>
      <c r="E116" s="50" t="s">
        <v>18</v>
      </c>
      <c r="F116" s="50" t="s">
        <v>57</v>
      </c>
      <c r="G116" s="47" t="s">
        <v>20</v>
      </c>
      <c r="H116" s="49"/>
      <c r="I116" s="49"/>
      <c r="J116" s="50"/>
      <c r="K116" s="49"/>
    </row>
    <row r="117" spans="1:11" ht="18" customHeight="1" x14ac:dyDescent="0.2">
      <c r="A117" s="44">
        <v>130</v>
      </c>
      <c r="B117" s="45" t="s">
        <v>67</v>
      </c>
      <c r="C117" s="44" t="s">
        <v>68</v>
      </c>
      <c r="D117" s="46" t="s">
        <v>17</v>
      </c>
      <c r="E117" s="45" t="s">
        <v>69</v>
      </c>
      <c r="F117" s="45" t="s">
        <v>57</v>
      </c>
      <c r="G117" s="47" t="s">
        <v>20</v>
      </c>
      <c r="H117" s="44"/>
      <c r="I117" s="44"/>
      <c r="J117" s="45"/>
      <c r="K117" s="44"/>
    </row>
    <row r="118" spans="1:11" ht="18" customHeight="1" x14ac:dyDescent="0.2">
      <c r="A118" s="49">
        <v>131</v>
      </c>
      <c r="B118" s="50" t="s">
        <v>70</v>
      </c>
      <c r="C118" s="49" t="s">
        <v>71</v>
      </c>
      <c r="D118" s="46" t="s">
        <v>17</v>
      </c>
      <c r="E118" s="50" t="s">
        <v>72</v>
      </c>
      <c r="F118" s="50" t="s">
        <v>73</v>
      </c>
      <c r="G118" s="47" t="s">
        <v>20</v>
      </c>
      <c r="H118" s="49"/>
      <c r="I118" s="49"/>
      <c r="J118" s="50"/>
      <c r="K118" s="49"/>
    </row>
    <row r="119" spans="1:11" ht="18" customHeight="1" x14ac:dyDescent="0.2">
      <c r="A119" s="44">
        <v>132</v>
      </c>
      <c r="B119" s="45" t="s">
        <v>74</v>
      </c>
      <c r="C119" s="44" t="s">
        <v>75</v>
      </c>
      <c r="D119" s="46" t="s">
        <v>17</v>
      </c>
      <c r="E119" s="45" t="s">
        <v>76</v>
      </c>
      <c r="F119" s="45" t="s">
        <v>57</v>
      </c>
      <c r="G119" s="47" t="s">
        <v>20</v>
      </c>
      <c r="H119" s="44"/>
      <c r="I119" s="44"/>
      <c r="J119" s="45"/>
      <c r="K119" s="44"/>
    </row>
    <row r="120" spans="1:11" ht="18" customHeight="1" x14ac:dyDescent="0.2">
      <c r="A120" s="49">
        <v>133</v>
      </c>
      <c r="B120" s="50" t="s">
        <v>78</v>
      </c>
      <c r="C120" s="49" t="s">
        <v>79</v>
      </c>
      <c r="D120" s="46" t="s">
        <v>17</v>
      </c>
      <c r="E120" s="50" t="s">
        <v>80</v>
      </c>
      <c r="F120" s="50" t="s">
        <v>81</v>
      </c>
      <c r="G120" s="47" t="s">
        <v>20</v>
      </c>
      <c r="H120" s="49"/>
      <c r="I120" s="49"/>
      <c r="J120" s="50"/>
      <c r="K120" s="49"/>
    </row>
    <row r="121" spans="1:11" ht="18" customHeight="1" x14ac:dyDescent="0.2">
      <c r="A121" s="44">
        <v>134</v>
      </c>
      <c r="B121" s="45" t="s">
        <v>82</v>
      </c>
      <c r="C121" s="44" t="s">
        <v>83</v>
      </c>
      <c r="D121" s="46" t="s">
        <v>17</v>
      </c>
      <c r="E121" s="45" t="s">
        <v>84</v>
      </c>
      <c r="F121" s="45" t="s">
        <v>85</v>
      </c>
      <c r="G121" s="47" t="s">
        <v>20</v>
      </c>
      <c r="H121" s="44"/>
      <c r="I121" s="44"/>
      <c r="J121" s="45"/>
      <c r="K121" s="44"/>
    </row>
    <row r="122" spans="1:11" ht="18" customHeight="1" x14ac:dyDescent="0.2">
      <c r="A122" s="49">
        <v>135</v>
      </c>
      <c r="B122" s="50" t="s">
        <v>86</v>
      </c>
      <c r="C122" s="49" t="s">
        <v>87</v>
      </c>
      <c r="D122" s="46" t="s">
        <v>17</v>
      </c>
      <c r="E122" s="50" t="s">
        <v>88</v>
      </c>
      <c r="F122" s="50" t="s">
        <v>81</v>
      </c>
      <c r="G122" s="47" t="s">
        <v>20</v>
      </c>
      <c r="H122" s="49"/>
      <c r="I122" s="49"/>
      <c r="J122" s="50"/>
      <c r="K122" s="49"/>
    </row>
    <row r="123" spans="1:11" ht="18" customHeight="1" x14ac:dyDescent="0.2">
      <c r="A123" s="44">
        <v>136</v>
      </c>
      <c r="B123" s="45" t="s">
        <v>89</v>
      </c>
      <c r="C123" s="44" t="s">
        <v>90</v>
      </c>
      <c r="D123" s="46" t="s">
        <v>17</v>
      </c>
      <c r="E123" s="45" t="s">
        <v>91</v>
      </c>
      <c r="F123" s="45" t="s">
        <v>85</v>
      </c>
      <c r="G123" s="53" t="s">
        <v>92</v>
      </c>
      <c r="H123" s="44"/>
      <c r="I123" s="44"/>
      <c r="J123" s="45"/>
      <c r="K123" s="44"/>
    </row>
    <row r="124" spans="1:11" ht="18" customHeight="1" x14ac:dyDescent="0.2">
      <c r="A124" s="49">
        <v>137</v>
      </c>
      <c r="B124" s="50" t="s">
        <v>93</v>
      </c>
      <c r="C124" s="49" t="s">
        <v>94</v>
      </c>
      <c r="D124" s="46" t="s">
        <v>17</v>
      </c>
      <c r="E124" s="50" t="s">
        <v>95</v>
      </c>
      <c r="F124" s="50" t="s">
        <v>85</v>
      </c>
      <c r="G124" s="47" t="s">
        <v>20</v>
      </c>
      <c r="H124" s="49"/>
      <c r="I124" s="49"/>
      <c r="J124" s="50"/>
      <c r="K124" s="49"/>
    </row>
    <row r="125" spans="1:11" ht="18" customHeight="1" x14ac:dyDescent="0.2">
      <c r="A125" s="44">
        <v>138</v>
      </c>
      <c r="B125" s="45" t="s">
        <v>97</v>
      </c>
      <c r="C125" s="44" t="s">
        <v>98</v>
      </c>
      <c r="D125" s="46" t="s">
        <v>17</v>
      </c>
      <c r="E125" s="45" t="s">
        <v>99</v>
      </c>
      <c r="F125" s="45" t="s">
        <v>100</v>
      </c>
      <c r="G125" s="47" t="s">
        <v>20</v>
      </c>
      <c r="H125" s="44"/>
      <c r="I125" s="44"/>
      <c r="J125" s="45"/>
      <c r="K125" s="44"/>
    </row>
    <row r="126" spans="1:11" ht="18" customHeight="1" x14ac:dyDescent="0.2">
      <c r="A126" s="49">
        <v>139</v>
      </c>
      <c r="B126" s="50" t="s">
        <v>101</v>
      </c>
      <c r="C126" s="49" t="s">
        <v>102</v>
      </c>
      <c r="D126" s="46" t="s">
        <v>17</v>
      </c>
      <c r="E126" s="50" t="s">
        <v>103</v>
      </c>
      <c r="F126" s="50" t="s">
        <v>104</v>
      </c>
      <c r="G126" s="47" t="s">
        <v>20</v>
      </c>
      <c r="H126" s="49"/>
      <c r="I126" s="49"/>
      <c r="J126" s="50"/>
      <c r="K126" s="49"/>
    </row>
    <row r="127" spans="1:11" ht="18" customHeight="1" x14ac:dyDescent="0.2">
      <c r="A127" s="44">
        <v>140</v>
      </c>
      <c r="B127" s="45" t="s">
        <v>105</v>
      </c>
      <c r="C127" s="44" t="s">
        <v>106</v>
      </c>
      <c r="D127" s="46" t="s">
        <v>17</v>
      </c>
      <c r="E127" s="45" t="s">
        <v>41</v>
      </c>
      <c r="F127" s="45" t="s">
        <v>104</v>
      </c>
      <c r="G127" s="47" t="s">
        <v>20</v>
      </c>
      <c r="H127" s="44"/>
      <c r="I127" s="44"/>
      <c r="J127" s="45"/>
      <c r="K127" s="44"/>
    </row>
    <row r="128" spans="1:11" ht="18" customHeight="1" x14ac:dyDescent="0.2">
      <c r="A128" s="49">
        <v>141</v>
      </c>
      <c r="B128" s="50" t="s">
        <v>107</v>
      </c>
      <c r="C128" s="49" t="s">
        <v>108</v>
      </c>
      <c r="D128" s="46" t="s">
        <v>17</v>
      </c>
      <c r="E128" s="50" t="s">
        <v>109</v>
      </c>
      <c r="F128" s="50" t="s">
        <v>100</v>
      </c>
      <c r="G128" s="53" t="s">
        <v>92</v>
      </c>
      <c r="H128" s="49"/>
      <c r="I128" s="49"/>
      <c r="J128" s="50"/>
      <c r="K128" s="49"/>
    </row>
    <row r="129" spans="1:11" ht="18" customHeight="1" x14ac:dyDescent="0.2">
      <c r="A129" s="44">
        <v>142</v>
      </c>
      <c r="B129" s="45" t="s">
        <v>111</v>
      </c>
      <c r="C129" s="44" t="s">
        <v>112</v>
      </c>
      <c r="D129" s="46" t="s">
        <v>17</v>
      </c>
      <c r="E129" s="45" t="s">
        <v>91</v>
      </c>
      <c r="F129" s="45" t="s">
        <v>113</v>
      </c>
      <c r="G129" s="47" t="s">
        <v>20</v>
      </c>
      <c r="H129" s="44"/>
      <c r="I129" s="44"/>
      <c r="J129" s="45"/>
      <c r="K129" s="44"/>
    </row>
    <row r="130" spans="1:11" ht="18" customHeight="1" x14ac:dyDescent="0.2">
      <c r="A130" s="49">
        <v>143</v>
      </c>
      <c r="B130" s="50" t="s">
        <v>114</v>
      </c>
      <c r="C130" s="49" t="s">
        <v>115</v>
      </c>
      <c r="D130" s="46" t="s">
        <v>17</v>
      </c>
      <c r="E130" s="50" t="s">
        <v>116</v>
      </c>
      <c r="F130" s="50" t="s">
        <v>113</v>
      </c>
      <c r="G130" s="47" t="s">
        <v>20</v>
      </c>
      <c r="H130" s="49"/>
      <c r="I130" s="49"/>
      <c r="J130" s="50"/>
      <c r="K130" s="49"/>
    </row>
    <row r="131" spans="1:11" ht="18" customHeight="1" x14ac:dyDescent="0.2">
      <c r="A131" s="44">
        <v>144</v>
      </c>
      <c r="B131" s="45" t="s">
        <v>117</v>
      </c>
      <c r="C131" s="44" t="s">
        <v>118</v>
      </c>
      <c r="D131" s="46" t="s">
        <v>17</v>
      </c>
      <c r="E131" s="45" t="s">
        <v>76</v>
      </c>
      <c r="F131" s="45" t="s">
        <v>119</v>
      </c>
      <c r="G131" s="47" t="s">
        <v>20</v>
      </c>
      <c r="H131" s="44"/>
      <c r="I131" s="44"/>
      <c r="J131" s="45"/>
      <c r="K131" s="44"/>
    </row>
    <row r="132" spans="1:11" ht="18" customHeight="1" x14ac:dyDescent="0.2">
      <c r="A132" s="49">
        <v>145</v>
      </c>
      <c r="B132" s="50" t="s">
        <v>120</v>
      </c>
      <c r="C132" s="49" t="s">
        <v>121</v>
      </c>
      <c r="D132" s="46" t="s">
        <v>17</v>
      </c>
      <c r="E132" s="50" t="s">
        <v>122</v>
      </c>
      <c r="F132" s="50" t="s">
        <v>119</v>
      </c>
      <c r="G132" s="47" t="s">
        <v>20</v>
      </c>
      <c r="H132" s="49"/>
      <c r="I132" s="49"/>
      <c r="J132" s="50"/>
      <c r="K132" s="49"/>
    </row>
    <row r="133" spans="1:11" ht="18" customHeight="1" x14ac:dyDescent="0.2">
      <c r="A133" s="44">
        <v>146</v>
      </c>
      <c r="B133" s="45" t="s">
        <v>123</v>
      </c>
      <c r="C133" s="44" t="s">
        <v>124</v>
      </c>
      <c r="D133" s="46" t="s">
        <v>17</v>
      </c>
      <c r="E133" s="45" t="s">
        <v>125</v>
      </c>
      <c r="F133" s="45" t="s">
        <v>126</v>
      </c>
      <c r="G133" s="47" t="s">
        <v>20</v>
      </c>
      <c r="H133" s="44"/>
      <c r="I133" s="44"/>
      <c r="J133" s="45"/>
      <c r="K133" s="44"/>
    </row>
    <row r="134" spans="1:11" ht="18" customHeight="1" x14ac:dyDescent="0.2">
      <c r="A134" s="49">
        <v>147</v>
      </c>
      <c r="B134" s="50" t="s">
        <v>127</v>
      </c>
      <c r="C134" s="49" t="s">
        <v>128</v>
      </c>
      <c r="D134" s="46" t="s">
        <v>17</v>
      </c>
      <c r="E134" s="50" t="s">
        <v>18</v>
      </c>
      <c r="F134" s="50" t="s">
        <v>113</v>
      </c>
      <c r="G134" s="53" t="s">
        <v>92</v>
      </c>
      <c r="H134" s="49"/>
      <c r="I134" s="49"/>
      <c r="J134" s="50"/>
      <c r="K134" s="49"/>
    </row>
    <row r="135" spans="1:11" ht="18" customHeight="1" x14ac:dyDescent="0.2">
      <c r="A135" s="44">
        <v>148</v>
      </c>
      <c r="B135" s="45" t="s">
        <v>130</v>
      </c>
      <c r="C135" s="44" t="s">
        <v>131</v>
      </c>
      <c r="D135" s="46" t="s">
        <v>17</v>
      </c>
      <c r="E135" s="45" t="s">
        <v>132</v>
      </c>
      <c r="F135" s="45" t="s">
        <v>133</v>
      </c>
      <c r="G135" s="47" t="s">
        <v>20</v>
      </c>
      <c r="H135" s="44"/>
      <c r="I135" s="44"/>
      <c r="J135" s="45"/>
      <c r="K135" s="44"/>
    </row>
    <row r="136" spans="1:11" ht="18" customHeight="1" x14ac:dyDescent="0.2">
      <c r="A136" s="49">
        <v>149</v>
      </c>
      <c r="B136" s="50" t="s">
        <v>134</v>
      </c>
      <c r="C136" s="49" t="s">
        <v>135</v>
      </c>
      <c r="D136" s="46" t="s">
        <v>17</v>
      </c>
      <c r="E136" s="50" t="s">
        <v>125</v>
      </c>
      <c r="F136" s="50" t="s">
        <v>136</v>
      </c>
      <c r="G136" s="47" t="s">
        <v>20</v>
      </c>
      <c r="H136" s="49"/>
      <c r="I136" s="49"/>
      <c r="J136" s="50"/>
      <c r="K136" s="49"/>
    </row>
    <row r="137" spans="1:11" ht="18" customHeight="1" x14ac:dyDescent="0.2">
      <c r="A137" s="44">
        <v>150</v>
      </c>
      <c r="B137" s="45" t="s">
        <v>137</v>
      </c>
      <c r="C137" s="44" t="s">
        <v>138</v>
      </c>
      <c r="D137" s="46" t="s">
        <v>17</v>
      </c>
      <c r="E137" s="45" t="s">
        <v>18</v>
      </c>
      <c r="F137" s="45" t="s">
        <v>133</v>
      </c>
      <c r="G137" s="47" t="s">
        <v>20</v>
      </c>
      <c r="H137" s="44"/>
      <c r="I137" s="44"/>
      <c r="J137" s="45"/>
      <c r="K137" s="44"/>
    </row>
    <row r="138" spans="1:11" ht="18" customHeight="1" x14ac:dyDescent="0.2">
      <c r="A138" s="49">
        <v>151</v>
      </c>
      <c r="B138" s="50" t="s">
        <v>139</v>
      </c>
      <c r="C138" s="49" t="s">
        <v>140</v>
      </c>
      <c r="D138" s="46" t="s">
        <v>17</v>
      </c>
      <c r="E138" s="50" t="s">
        <v>46</v>
      </c>
      <c r="F138" s="50" t="s">
        <v>136</v>
      </c>
      <c r="G138" s="47" t="s">
        <v>20</v>
      </c>
      <c r="H138" s="49"/>
      <c r="I138" s="49"/>
      <c r="J138" s="50"/>
      <c r="K138" s="49"/>
    </row>
    <row r="139" spans="1:11" ht="18" customHeight="1" x14ac:dyDescent="0.2">
      <c r="A139" s="44">
        <v>152</v>
      </c>
      <c r="B139" s="45" t="s">
        <v>142</v>
      </c>
      <c r="C139" s="44" t="s">
        <v>143</v>
      </c>
      <c r="D139" s="46" t="s">
        <v>17</v>
      </c>
      <c r="E139" s="45" t="s">
        <v>144</v>
      </c>
      <c r="F139" s="45" t="s">
        <v>145</v>
      </c>
      <c r="G139" s="47" t="s">
        <v>20</v>
      </c>
      <c r="H139" s="44"/>
      <c r="I139" s="44"/>
      <c r="J139" s="45"/>
      <c r="K139" s="44"/>
    </row>
    <row r="140" spans="1:11" ht="18" customHeight="1" x14ac:dyDescent="0.2">
      <c r="A140" s="49">
        <v>153</v>
      </c>
      <c r="B140" s="50" t="s">
        <v>147</v>
      </c>
      <c r="C140" s="49" t="s">
        <v>148</v>
      </c>
      <c r="D140" s="46" t="s">
        <v>17</v>
      </c>
      <c r="E140" s="50" t="s">
        <v>149</v>
      </c>
      <c r="F140" s="50" t="s">
        <v>150</v>
      </c>
      <c r="G140" s="47" t="s">
        <v>20</v>
      </c>
      <c r="H140" s="49"/>
      <c r="I140" s="49"/>
      <c r="J140" s="50"/>
      <c r="K140" s="49"/>
    </row>
    <row r="141" spans="1:11" ht="18" customHeight="1" x14ac:dyDescent="0.2">
      <c r="A141" s="44">
        <v>154</v>
      </c>
      <c r="B141" s="45" t="s">
        <v>151</v>
      </c>
      <c r="C141" s="44" t="s">
        <v>152</v>
      </c>
      <c r="D141" s="46" t="s">
        <v>17</v>
      </c>
      <c r="E141" s="45" t="s">
        <v>153</v>
      </c>
      <c r="F141" s="45" t="s">
        <v>154</v>
      </c>
      <c r="G141" s="47" t="s">
        <v>20</v>
      </c>
      <c r="H141" s="44"/>
      <c r="I141" s="44"/>
      <c r="J141" s="45"/>
      <c r="K141" s="44"/>
    </row>
    <row r="142" spans="1:11" ht="18" customHeight="1" x14ac:dyDescent="0.2">
      <c r="A142" s="49">
        <v>155</v>
      </c>
      <c r="B142" s="50" t="s">
        <v>155</v>
      </c>
      <c r="C142" s="49" t="s">
        <v>156</v>
      </c>
      <c r="D142" s="46" t="s">
        <v>17</v>
      </c>
      <c r="E142" s="50" t="s">
        <v>153</v>
      </c>
      <c r="F142" s="50" t="s">
        <v>157</v>
      </c>
      <c r="G142" s="47" t="s">
        <v>20</v>
      </c>
      <c r="H142" s="49"/>
      <c r="I142" s="49"/>
      <c r="J142" s="50"/>
      <c r="K142" s="49"/>
    </row>
    <row r="143" spans="1:11" ht="18" customHeight="1" x14ac:dyDescent="0.2">
      <c r="A143" s="44">
        <v>156</v>
      </c>
      <c r="B143" s="45" t="s">
        <v>158</v>
      </c>
      <c r="C143" s="44" t="s">
        <v>159</v>
      </c>
      <c r="D143" s="46" t="s">
        <v>17</v>
      </c>
      <c r="E143" s="45" t="s">
        <v>153</v>
      </c>
      <c r="F143" s="45" t="s">
        <v>160</v>
      </c>
      <c r="G143" s="47" t="s">
        <v>20</v>
      </c>
      <c r="H143" s="44"/>
      <c r="I143" s="44"/>
      <c r="J143" s="45"/>
      <c r="K143" s="44"/>
    </row>
    <row r="144" spans="1:11" ht="18" customHeight="1" x14ac:dyDescent="0.2">
      <c r="A144" s="49">
        <v>157</v>
      </c>
      <c r="B144" s="50" t="s">
        <v>161</v>
      </c>
      <c r="C144" s="49" t="s">
        <v>162</v>
      </c>
      <c r="D144" s="46" t="s">
        <v>17</v>
      </c>
      <c r="E144" s="50" t="s">
        <v>76</v>
      </c>
      <c r="F144" s="50" t="s">
        <v>154</v>
      </c>
      <c r="G144" s="47" t="s">
        <v>20</v>
      </c>
      <c r="H144" s="49"/>
      <c r="I144" s="49"/>
      <c r="J144" s="50"/>
      <c r="K144" s="49"/>
    </row>
    <row r="145" spans="1:13" ht="18" customHeight="1" x14ac:dyDescent="0.2">
      <c r="A145" s="44">
        <v>158</v>
      </c>
      <c r="B145" s="45" t="s">
        <v>163</v>
      </c>
      <c r="C145" s="44" t="s">
        <v>164</v>
      </c>
      <c r="D145" s="46" t="s">
        <v>17</v>
      </c>
      <c r="E145" s="45" t="s">
        <v>165</v>
      </c>
      <c r="F145" s="45" t="s">
        <v>166</v>
      </c>
      <c r="G145" s="47" t="s">
        <v>20</v>
      </c>
      <c r="H145" s="44"/>
      <c r="I145" s="44"/>
      <c r="J145" s="45"/>
      <c r="K145" s="44"/>
    </row>
    <row r="146" spans="1:13" ht="18" customHeight="1" x14ac:dyDescent="0.2">
      <c r="A146" s="49">
        <v>159</v>
      </c>
      <c r="B146" s="50" t="s">
        <v>167</v>
      </c>
      <c r="C146" s="49" t="s">
        <v>168</v>
      </c>
      <c r="D146" s="46" t="s">
        <v>17</v>
      </c>
      <c r="E146" s="50" t="s">
        <v>18</v>
      </c>
      <c r="F146" s="50" t="s">
        <v>169</v>
      </c>
      <c r="G146" s="47" t="s">
        <v>20</v>
      </c>
      <c r="H146" s="49"/>
      <c r="I146" s="49"/>
      <c r="J146" s="50"/>
      <c r="K146" s="49"/>
    </row>
    <row r="147" spans="1:13" ht="18" customHeight="1" x14ac:dyDescent="0.2">
      <c r="A147" s="84">
        <v>160</v>
      </c>
      <c r="B147" s="85" t="s">
        <v>413</v>
      </c>
      <c r="C147" s="84" t="s">
        <v>414</v>
      </c>
      <c r="D147" s="86" t="s">
        <v>183</v>
      </c>
      <c r="E147" s="85" t="s">
        <v>184</v>
      </c>
      <c r="F147" s="84" t="s">
        <v>415</v>
      </c>
      <c r="G147" s="86" t="s">
        <v>20</v>
      </c>
      <c r="H147" s="84"/>
      <c r="I147" s="84"/>
      <c r="J147" s="85"/>
      <c r="K147" s="84"/>
      <c r="L147" s="87"/>
      <c r="M147" s="87"/>
    </row>
    <row r="148" spans="1:13" ht="18" customHeight="1" x14ac:dyDescent="0.2">
      <c r="A148" s="88">
        <v>161</v>
      </c>
      <c r="B148" s="89" t="s">
        <v>416</v>
      </c>
      <c r="C148" s="88" t="s">
        <v>417</v>
      </c>
      <c r="D148" s="86" t="s">
        <v>183</v>
      </c>
      <c r="E148" s="89" t="s">
        <v>184</v>
      </c>
      <c r="F148" s="88" t="s">
        <v>415</v>
      </c>
      <c r="G148" s="86" t="s">
        <v>20</v>
      </c>
      <c r="H148" s="88"/>
      <c r="I148" s="88"/>
      <c r="J148" s="89"/>
      <c r="K148" s="88"/>
      <c r="L148" s="90"/>
      <c r="M148" s="90"/>
    </row>
    <row r="149" spans="1:13" ht="18" customHeight="1" x14ac:dyDescent="0.2">
      <c r="A149" s="84">
        <v>162</v>
      </c>
      <c r="B149" s="85" t="s">
        <v>418</v>
      </c>
      <c r="C149" s="84" t="s">
        <v>419</v>
      </c>
      <c r="D149" s="86" t="s">
        <v>183</v>
      </c>
      <c r="E149" s="85" t="s">
        <v>184</v>
      </c>
      <c r="F149" s="84" t="s">
        <v>415</v>
      </c>
      <c r="G149" s="91" t="s">
        <v>92</v>
      </c>
      <c r="H149" s="84"/>
      <c r="I149" s="84"/>
      <c r="J149" s="85"/>
      <c r="K149" s="84"/>
      <c r="L149" s="87"/>
      <c r="M149" s="87"/>
    </row>
    <row r="150" spans="1:13" ht="18" customHeight="1" x14ac:dyDescent="0.2">
      <c r="A150" s="88">
        <v>163</v>
      </c>
      <c r="B150" s="89" t="s">
        <v>420</v>
      </c>
      <c r="C150" s="88" t="s">
        <v>421</v>
      </c>
      <c r="D150" s="86" t="s">
        <v>183</v>
      </c>
      <c r="E150" s="89" t="s">
        <v>184</v>
      </c>
      <c r="F150" s="88" t="s">
        <v>415</v>
      </c>
      <c r="G150" s="91" t="s">
        <v>92</v>
      </c>
      <c r="H150" s="88"/>
      <c r="I150" s="88"/>
      <c r="J150" s="89"/>
      <c r="K150" s="88"/>
      <c r="L150" s="87"/>
      <c r="M150" s="87"/>
    </row>
    <row r="151" spans="1:13" ht="18" customHeight="1" x14ac:dyDescent="0.2">
      <c r="A151" s="84">
        <v>164</v>
      </c>
      <c r="B151" s="85" t="s">
        <v>422</v>
      </c>
      <c r="C151" s="84" t="s">
        <v>423</v>
      </c>
      <c r="D151" s="86" t="s">
        <v>183</v>
      </c>
      <c r="E151" s="85" t="s">
        <v>184</v>
      </c>
      <c r="F151" s="84" t="s">
        <v>415</v>
      </c>
      <c r="G151" s="86" t="s">
        <v>20</v>
      </c>
      <c r="H151" s="84"/>
      <c r="I151" s="84"/>
      <c r="J151" s="85"/>
      <c r="K151" s="84"/>
      <c r="L151" s="87"/>
      <c r="M151" s="87"/>
    </row>
    <row r="152" spans="1:13" ht="18" customHeight="1" x14ac:dyDescent="0.2">
      <c r="A152" s="88">
        <v>165</v>
      </c>
      <c r="B152" s="89" t="s">
        <v>424</v>
      </c>
      <c r="C152" s="88" t="s">
        <v>425</v>
      </c>
      <c r="D152" s="86" t="s">
        <v>183</v>
      </c>
      <c r="E152" s="89" t="s">
        <v>184</v>
      </c>
      <c r="F152" s="88" t="s">
        <v>415</v>
      </c>
      <c r="G152" s="91" t="s">
        <v>92</v>
      </c>
      <c r="H152" s="88"/>
      <c r="I152" s="88"/>
      <c r="J152" s="89"/>
      <c r="K152" s="88"/>
      <c r="L152" s="87"/>
      <c r="M152" s="87"/>
    </row>
    <row r="153" spans="1:13" ht="18" customHeight="1" x14ac:dyDescent="0.2">
      <c r="A153" s="84">
        <v>166</v>
      </c>
      <c r="B153" s="85" t="s">
        <v>426</v>
      </c>
      <c r="C153" s="84" t="s">
        <v>427</v>
      </c>
      <c r="D153" s="86" t="s">
        <v>183</v>
      </c>
      <c r="E153" s="85" t="s">
        <v>184</v>
      </c>
      <c r="F153" s="84" t="s">
        <v>428</v>
      </c>
      <c r="G153" s="86" t="s">
        <v>20</v>
      </c>
      <c r="H153" s="84"/>
      <c r="I153" s="84"/>
      <c r="J153" s="85"/>
      <c r="K153" s="84"/>
      <c r="L153" s="87"/>
      <c r="M153" s="87"/>
    </row>
    <row r="154" spans="1:13" ht="18" customHeight="1" x14ac:dyDescent="0.2">
      <c r="A154" s="92">
        <v>167</v>
      </c>
      <c r="B154" s="93" t="s">
        <v>429</v>
      </c>
      <c r="C154" s="92" t="s">
        <v>430</v>
      </c>
      <c r="D154" s="86" t="s">
        <v>183</v>
      </c>
      <c r="E154" s="93" t="s">
        <v>184</v>
      </c>
      <c r="F154" s="92" t="s">
        <v>428</v>
      </c>
      <c r="G154" s="91" t="s">
        <v>92</v>
      </c>
      <c r="H154" s="92"/>
      <c r="I154" s="92"/>
      <c r="J154" s="93"/>
      <c r="K154" s="92"/>
      <c r="L154" s="87"/>
      <c r="M154" s="87"/>
    </row>
    <row r="155" spans="1:13" ht="18" customHeight="1" x14ac:dyDescent="0.2">
      <c r="A155" s="84">
        <v>168</v>
      </c>
      <c r="B155" s="85" t="s">
        <v>431</v>
      </c>
      <c r="C155" s="84" t="s">
        <v>432</v>
      </c>
      <c r="D155" s="86" t="s">
        <v>183</v>
      </c>
      <c r="E155" s="85" t="s">
        <v>184</v>
      </c>
      <c r="F155" s="84" t="s">
        <v>428</v>
      </c>
      <c r="G155" s="86" t="s">
        <v>20</v>
      </c>
      <c r="H155" s="84"/>
      <c r="I155" s="84"/>
      <c r="J155" s="85"/>
      <c r="K155" s="84"/>
      <c r="L155" s="87"/>
      <c r="M155" s="87"/>
    </row>
    <row r="156" spans="1:13" ht="18" customHeight="1" x14ac:dyDescent="0.2">
      <c r="A156" s="92">
        <v>169</v>
      </c>
      <c r="B156" s="93" t="s">
        <v>433</v>
      </c>
      <c r="C156" s="92" t="s">
        <v>434</v>
      </c>
      <c r="D156" s="86" t="s">
        <v>183</v>
      </c>
      <c r="E156" s="93" t="s">
        <v>184</v>
      </c>
      <c r="F156" s="92" t="s">
        <v>428</v>
      </c>
      <c r="G156" s="86" t="s">
        <v>20</v>
      </c>
      <c r="H156" s="92"/>
      <c r="I156" s="92"/>
      <c r="J156" s="93"/>
      <c r="K156" s="92"/>
      <c r="L156" s="87"/>
      <c r="M156" s="87"/>
    </row>
    <row r="157" spans="1:13" ht="18" customHeight="1" x14ac:dyDescent="0.2">
      <c r="A157" s="84">
        <v>170</v>
      </c>
      <c r="B157" s="85" t="s">
        <v>435</v>
      </c>
      <c r="C157" s="84" t="s">
        <v>436</v>
      </c>
      <c r="D157" s="86" t="s">
        <v>183</v>
      </c>
      <c r="E157" s="85" t="s">
        <v>184</v>
      </c>
      <c r="F157" s="84" t="s">
        <v>428</v>
      </c>
      <c r="G157" s="91" t="s">
        <v>92</v>
      </c>
      <c r="H157" s="84"/>
      <c r="I157" s="84"/>
      <c r="J157" s="85"/>
      <c r="K157" s="84"/>
    </row>
    <row r="158" spans="1:13" ht="18" customHeight="1" x14ac:dyDescent="0.2">
      <c r="A158" s="94">
        <v>171</v>
      </c>
      <c r="B158" s="95" t="s">
        <v>437</v>
      </c>
      <c r="C158" s="94" t="s">
        <v>438</v>
      </c>
      <c r="D158" s="86" t="s">
        <v>183</v>
      </c>
      <c r="E158" s="95" t="s">
        <v>184</v>
      </c>
      <c r="F158" s="94" t="s">
        <v>439</v>
      </c>
      <c r="G158" s="86" t="s">
        <v>20</v>
      </c>
      <c r="H158" s="94"/>
      <c r="I158" s="94"/>
      <c r="J158" s="95"/>
      <c r="K158" s="94"/>
    </row>
    <row r="159" spans="1:13" ht="18" customHeight="1" x14ac:dyDescent="0.2">
      <c r="A159" s="84">
        <v>172</v>
      </c>
      <c r="B159" s="85" t="s">
        <v>440</v>
      </c>
      <c r="C159" s="84" t="s">
        <v>441</v>
      </c>
      <c r="D159" s="86" t="s">
        <v>183</v>
      </c>
      <c r="E159" s="85" t="s">
        <v>184</v>
      </c>
      <c r="F159" s="84" t="s">
        <v>439</v>
      </c>
      <c r="G159" s="86" t="s">
        <v>20</v>
      </c>
      <c r="H159" s="84"/>
      <c r="I159" s="84"/>
      <c r="J159" s="85"/>
      <c r="K159" s="84"/>
    </row>
    <row r="160" spans="1:13" ht="18" customHeight="1" x14ac:dyDescent="0.2">
      <c r="A160" s="94">
        <v>173</v>
      </c>
      <c r="B160" s="95" t="s">
        <v>442</v>
      </c>
      <c r="C160" s="94" t="s">
        <v>443</v>
      </c>
      <c r="D160" s="86" t="s">
        <v>183</v>
      </c>
      <c r="E160" s="95" t="s">
        <v>184</v>
      </c>
      <c r="F160" s="94" t="s">
        <v>439</v>
      </c>
      <c r="G160" s="91" t="s">
        <v>92</v>
      </c>
      <c r="H160" s="94"/>
      <c r="I160" s="94"/>
      <c r="J160" s="95"/>
      <c r="K160" s="94"/>
    </row>
    <row r="161" spans="1:11" ht="18" customHeight="1" x14ac:dyDescent="0.2">
      <c r="A161" s="84">
        <v>174</v>
      </c>
      <c r="B161" s="85" t="s">
        <v>444</v>
      </c>
      <c r="C161" s="84" t="s">
        <v>445</v>
      </c>
      <c r="D161" s="86" t="s">
        <v>183</v>
      </c>
      <c r="E161" s="85" t="s">
        <v>184</v>
      </c>
      <c r="F161" s="84" t="s">
        <v>446</v>
      </c>
      <c r="G161" s="86" t="s">
        <v>20</v>
      </c>
      <c r="H161" s="84"/>
      <c r="I161" s="84"/>
      <c r="J161" s="85"/>
      <c r="K161" s="84"/>
    </row>
    <row r="162" spans="1:11" ht="18" customHeight="1" x14ac:dyDescent="0.2">
      <c r="A162" s="96">
        <v>175</v>
      </c>
      <c r="B162" s="97" t="s">
        <v>447</v>
      </c>
      <c r="C162" s="96" t="s">
        <v>448</v>
      </c>
      <c r="D162" s="86" t="s">
        <v>183</v>
      </c>
      <c r="E162" s="97" t="s">
        <v>184</v>
      </c>
      <c r="F162" s="96" t="s">
        <v>446</v>
      </c>
      <c r="G162" s="86" t="s">
        <v>20</v>
      </c>
      <c r="H162" s="96"/>
      <c r="I162" s="96"/>
      <c r="J162" s="97"/>
      <c r="K162" s="96"/>
    </row>
    <row r="163" spans="1:11" ht="18" customHeight="1" x14ac:dyDescent="0.2">
      <c r="A163" s="84">
        <v>176</v>
      </c>
      <c r="B163" s="85" t="s">
        <v>449</v>
      </c>
      <c r="C163" s="84" t="s">
        <v>450</v>
      </c>
      <c r="D163" s="86" t="s">
        <v>183</v>
      </c>
      <c r="E163" s="85" t="s">
        <v>184</v>
      </c>
      <c r="F163" s="84" t="s">
        <v>446</v>
      </c>
      <c r="G163" s="91" t="s">
        <v>92</v>
      </c>
      <c r="H163" s="84"/>
      <c r="I163" s="84"/>
      <c r="J163" s="85"/>
      <c r="K163" s="84"/>
    </row>
    <row r="164" spans="1:11" ht="18" customHeight="1" x14ac:dyDescent="0.2">
      <c r="A164" s="96">
        <v>177</v>
      </c>
      <c r="B164" s="97" t="s">
        <v>451</v>
      </c>
      <c r="C164" s="96" t="s">
        <v>452</v>
      </c>
      <c r="D164" s="86" t="s">
        <v>183</v>
      </c>
      <c r="E164" s="97" t="s">
        <v>184</v>
      </c>
      <c r="F164" s="96" t="s">
        <v>446</v>
      </c>
      <c r="G164" s="86" t="s">
        <v>20</v>
      </c>
      <c r="H164" s="96"/>
      <c r="I164" s="96"/>
      <c r="J164" s="97"/>
      <c r="K164" s="96"/>
    </row>
    <row r="165" spans="1:11" ht="18" customHeight="1" x14ac:dyDescent="0.2">
      <c r="A165" s="84">
        <v>178</v>
      </c>
      <c r="B165" s="85" t="s">
        <v>453</v>
      </c>
      <c r="C165" s="84" t="s">
        <v>454</v>
      </c>
      <c r="D165" s="86" t="s">
        <v>183</v>
      </c>
      <c r="E165" s="85" t="s">
        <v>184</v>
      </c>
      <c r="F165" s="84" t="s">
        <v>455</v>
      </c>
      <c r="G165" s="86" t="s">
        <v>20</v>
      </c>
      <c r="H165" s="84"/>
      <c r="I165" s="84"/>
      <c r="J165" s="85"/>
      <c r="K165" s="84"/>
    </row>
    <row r="166" spans="1:11" ht="18" customHeight="1" x14ac:dyDescent="0.2">
      <c r="A166" s="98">
        <v>179</v>
      </c>
      <c r="B166" s="99" t="s">
        <v>456</v>
      </c>
      <c r="C166" s="98" t="s">
        <v>457</v>
      </c>
      <c r="D166" s="86" t="s">
        <v>183</v>
      </c>
      <c r="E166" s="99" t="s">
        <v>184</v>
      </c>
      <c r="F166" s="98" t="s">
        <v>455</v>
      </c>
      <c r="G166" s="86" t="s">
        <v>20</v>
      </c>
      <c r="H166" s="98"/>
      <c r="I166" s="98"/>
      <c r="J166" s="99"/>
      <c r="K166" s="98"/>
    </row>
    <row r="167" spans="1:11" ht="18" customHeight="1" x14ac:dyDescent="0.2">
      <c r="A167" s="84">
        <v>180</v>
      </c>
      <c r="B167" s="85" t="s">
        <v>458</v>
      </c>
      <c r="C167" s="84" t="s">
        <v>459</v>
      </c>
      <c r="D167" s="86" t="s">
        <v>183</v>
      </c>
      <c r="E167" s="85" t="s">
        <v>184</v>
      </c>
      <c r="F167" s="84" t="s">
        <v>455</v>
      </c>
      <c r="G167" s="91" t="s">
        <v>92</v>
      </c>
      <c r="H167" s="84"/>
      <c r="I167" s="84"/>
      <c r="J167" s="85"/>
      <c r="K167" s="84"/>
    </row>
    <row r="168" spans="1:11" ht="18" customHeight="1" x14ac:dyDescent="0.2">
      <c r="A168" s="100">
        <v>181</v>
      </c>
      <c r="B168" s="101" t="s">
        <v>460</v>
      </c>
      <c r="C168" s="100" t="s">
        <v>461</v>
      </c>
      <c r="D168" s="86" t="s">
        <v>183</v>
      </c>
      <c r="E168" s="101" t="s">
        <v>462</v>
      </c>
      <c r="F168" s="100" t="s">
        <v>463</v>
      </c>
      <c r="G168" s="86" t="s">
        <v>20</v>
      </c>
      <c r="H168" s="100"/>
      <c r="I168" s="100"/>
      <c r="J168" s="101"/>
      <c r="K168" s="100"/>
    </row>
    <row r="169" spans="1:11" ht="18" customHeight="1" x14ac:dyDescent="0.2">
      <c r="A169" s="84">
        <v>182</v>
      </c>
      <c r="B169" s="85" t="s">
        <v>464</v>
      </c>
      <c r="C169" s="84" t="s">
        <v>465</v>
      </c>
      <c r="D169" s="86" t="s">
        <v>183</v>
      </c>
      <c r="E169" s="85" t="s">
        <v>462</v>
      </c>
      <c r="F169" s="84" t="s">
        <v>415</v>
      </c>
      <c r="G169" s="86" t="s">
        <v>20</v>
      </c>
      <c r="H169" s="84"/>
      <c r="I169" s="84"/>
      <c r="J169" s="85"/>
      <c r="K169" s="84"/>
    </row>
    <row r="170" spans="1:11" ht="18" customHeight="1" x14ac:dyDescent="0.2">
      <c r="A170" s="88">
        <v>183</v>
      </c>
      <c r="B170" s="89" t="s">
        <v>466</v>
      </c>
      <c r="C170" s="88" t="s">
        <v>467</v>
      </c>
      <c r="D170" s="86" t="s">
        <v>183</v>
      </c>
      <c r="E170" s="89" t="s">
        <v>462</v>
      </c>
      <c r="F170" s="88" t="s">
        <v>415</v>
      </c>
      <c r="G170" s="86" t="s">
        <v>20</v>
      </c>
      <c r="H170" s="88"/>
      <c r="I170" s="88"/>
      <c r="J170" s="89"/>
      <c r="K170" s="88"/>
    </row>
    <row r="171" spans="1:11" ht="18" customHeight="1" x14ac:dyDescent="0.2">
      <c r="A171" s="84">
        <v>184</v>
      </c>
      <c r="B171" s="85" t="s">
        <v>468</v>
      </c>
      <c r="C171" s="84" t="s">
        <v>469</v>
      </c>
      <c r="D171" s="86" t="s">
        <v>183</v>
      </c>
      <c r="E171" s="85" t="s">
        <v>462</v>
      </c>
      <c r="F171" s="84" t="s">
        <v>415</v>
      </c>
      <c r="G171" s="86" t="s">
        <v>20</v>
      </c>
      <c r="H171" s="84"/>
      <c r="I171" s="84"/>
      <c r="J171" s="85"/>
      <c r="K171" s="84"/>
    </row>
    <row r="172" spans="1:11" ht="18" customHeight="1" x14ac:dyDescent="0.2">
      <c r="A172" s="88">
        <v>185</v>
      </c>
      <c r="B172" s="89" t="s">
        <v>470</v>
      </c>
      <c r="C172" s="88" t="s">
        <v>471</v>
      </c>
      <c r="D172" s="86" t="s">
        <v>183</v>
      </c>
      <c r="E172" s="89" t="s">
        <v>462</v>
      </c>
      <c r="F172" s="88" t="s">
        <v>415</v>
      </c>
      <c r="G172" s="91" t="s">
        <v>92</v>
      </c>
      <c r="H172" s="88"/>
      <c r="I172" s="88"/>
      <c r="J172" s="89"/>
      <c r="K172" s="88"/>
    </row>
    <row r="173" spans="1:11" ht="18" customHeight="1" x14ac:dyDescent="0.2">
      <c r="A173" s="84">
        <v>186</v>
      </c>
      <c r="B173" s="85" t="s">
        <v>472</v>
      </c>
      <c r="C173" s="84" t="s">
        <v>473</v>
      </c>
      <c r="D173" s="86" t="s">
        <v>183</v>
      </c>
      <c r="E173" s="85" t="s">
        <v>462</v>
      </c>
      <c r="F173" s="84" t="s">
        <v>439</v>
      </c>
      <c r="G173" s="86" t="s">
        <v>20</v>
      </c>
      <c r="H173" s="84"/>
      <c r="I173" s="84"/>
      <c r="J173" s="85"/>
      <c r="K173" s="84"/>
    </row>
    <row r="174" spans="1:11" ht="18" customHeight="1" x14ac:dyDescent="0.2">
      <c r="A174" s="94">
        <v>187</v>
      </c>
      <c r="B174" s="95" t="s">
        <v>474</v>
      </c>
      <c r="C174" s="94" t="s">
        <v>475</v>
      </c>
      <c r="D174" s="86" t="s">
        <v>183</v>
      </c>
      <c r="E174" s="95" t="s">
        <v>462</v>
      </c>
      <c r="F174" s="94" t="s">
        <v>439</v>
      </c>
      <c r="G174" s="86" t="s">
        <v>20</v>
      </c>
      <c r="H174" s="94"/>
      <c r="I174" s="94"/>
      <c r="J174" s="95"/>
      <c r="K174" s="94"/>
    </row>
    <row r="175" spans="1:11" ht="18" customHeight="1" x14ac:dyDescent="0.2">
      <c r="A175" s="84">
        <v>188</v>
      </c>
      <c r="B175" s="85" t="s">
        <v>476</v>
      </c>
      <c r="C175" s="84" t="s">
        <v>477</v>
      </c>
      <c r="D175" s="86" t="s">
        <v>183</v>
      </c>
      <c r="E175" s="85" t="s">
        <v>462</v>
      </c>
      <c r="F175" s="84" t="s">
        <v>439</v>
      </c>
      <c r="G175" s="86" t="s">
        <v>20</v>
      </c>
      <c r="H175" s="84"/>
      <c r="I175" s="84"/>
      <c r="J175" s="85"/>
      <c r="K175" s="84"/>
    </row>
    <row r="176" spans="1:11" ht="18" customHeight="1" x14ac:dyDescent="0.2">
      <c r="A176" s="94">
        <v>189</v>
      </c>
      <c r="B176" s="95" t="s">
        <v>478</v>
      </c>
      <c r="C176" s="94" t="s">
        <v>479</v>
      </c>
      <c r="D176" s="86" t="s">
        <v>183</v>
      </c>
      <c r="E176" s="95" t="s">
        <v>462</v>
      </c>
      <c r="F176" s="94" t="s">
        <v>439</v>
      </c>
      <c r="G176" s="86" t="s">
        <v>20</v>
      </c>
      <c r="H176" s="94"/>
      <c r="I176" s="94"/>
      <c r="J176" s="95"/>
      <c r="K176" s="94"/>
    </row>
    <row r="177" spans="1:11" ht="18" customHeight="1" x14ac:dyDescent="0.2">
      <c r="A177" s="84">
        <v>190</v>
      </c>
      <c r="B177" s="85" t="s">
        <v>480</v>
      </c>
      <c r="C177" s="84" t="s">
        <v>481</v>
      </c>
      <c r="D177" s="86" t="s">
        <v>183</v>
      </c>
      <c r="E177" s="85" t="s">
        <v>462</v>
      </c>
      <c r="F177" s="84" t="s">
        <v>428</v>
      </c>
      <c r="G177" s="86" t="s">
        <v>20</v>
      </c>
      <c r="H177" s="84"/>
      <c r="I177" s="84"/>
      <c r="J177" s="85"/>
      <c r="K177" s="84"/>
    </row>
    <row r="178" spans="1:11" ht="18" customHeight="1" x14ac:dyDescent="0.2">
      <c r="A178" s="96">
        <v>191</v>
      </c>
      <c r="B178" s="97" t="s">
        <v>482</v>
      </c>
      <c r="C178" s="96" t="s">
        <v>483</v>
      </c>
      <c r="D178" s="86" t="s">
        <v>183</v>
      </c>
      <c r="E178" s="97" t="s">
        <v>462</v>
      </c>
      <c r="F178" s="96" t="s">
        <v>446</v>
      </c>
      <c r="G178" s="86" t="s">
        <v>20</v>
      </c>
      <c r="H178" s="96"/>
      <c r="I178" s="96"/>
      <c r="J178" s="97"/>
      <c r="K178" s="96"/>
    </row>
    <row r="179" spans="1:11" ht="18" customHeight="1" x14ac:dyDescent="0.2">
      <c r="A179" s="84">
        <v>192</v>
      </c>
      <c r="B179" s="85" t="s">
        <v>484</v>
      </c>
      <c r="C179" s="84" t="s">
        <v>485</v>
      </c>
      <c r="D179" s="86" t="s">
        <v>183</v>
      </c>
      <c r="E179" s="85" t="s">
        <v>462</v>
      </c>
      <c r="F179" s="84" t="s">
        <v>446</v>
      </c>
      <c r="G179" s="86" t="s">
        <v>20</v>
      </c>
      <c r="H179" s="84"/>
      <c r="I179" s="84"/>
      <c r="J179" s="85"/>
      <c r="K179" s="84"/>
    </row>
    <row r="180" spans="1:11" ht="18" customHeight="1" x14ac:dyDescent="0.2">
      <c r="A180" s="96">
        <v>193</v>
      </c>
      <c r="B180" s="97" t="s">
        <v>486</v>
      </c>
      <c r="C180" s="96" t="s">
        <v>487</v>
      </c>
      <c r="D180" s="86" t="s">
        <v>183</v>
      </c>
      <c r="E180" s="97" t="s">
        <v>462</v>
      </c>
      <c r="F180" s="96" t="s">
        <v>488</v>
      </c>
      <c r="G180" s="86" t="s">
        <v>20</v>
      </c>
      <c r="H180" s="96"/>
      <c r="I180" s="96"/>
      <c r="J180" s="97"/>
      <c r="K180" s="96"/>
    </row>
    <row r="181" spans="1:11" ht="18" customHeight="1" x14ac:dyDescent="0.2">
      <c r="A181" s="84">
        <v>194</v>
      </c>
      <c r="B181" s="85" t="s">
        <v>489</v>
      </c>
      <c r="C181" s="84" t="s">
        <v>490</v>
      </c>
      <c r="D181" s="86" t="s">
        <v>183</v>
      </c>
      <c r="E181" s="85" t="s">
        <v>462</v>
      </c>
      <c r="F181" s="84" t="s">
        <v>446</v>
      </c>
      <c r="G181" s="91" t="s">
        <v>92</v>
      </c>
      <c r="H181" s="84"/>
      <c r="I181" s="84"/>
      <c r="J181" s="85"/>
      <c r="K181" s="84"/>
    </row>
    <row r="182" spans="1:11" ht="18" customHeight="1" x14ac:dyDescent="0.2">
      <c r="A182" s="96">
        <v>195</v>
      </c>
      <c r="B182" s="97" t="s">
        <v>491</v>
      </c>
      <c r="C182" s="96" t="s">
        <v>492</v>
      </c>
      <c r="D182" s="86" t="s">
        <v>183</v>
      </c>
      <c r="E182" s="97" t="s">
        <v>462</v>
      </c>
      <c r="F182" s="96" t="s">
        <v>446</v>
      </c>
      <c r="G182" s="86" t="s">
        <v>20</v>
      </c>
      <c r="H182" s="96"/>
      <c r="I182" s="96"/>
      <c r="J182" s="97"/>
      <c r="K182" s="96"/>
    </row>
    <row r="183" spans="1:11" ht="18" customHeight="1" x14ac:dyDescent="0.2">
      <c r="A183" s="84">
        <v>196</v>
      </c>
      <c r="B183" s="85" t="s">
        <v>493</v>
      </c>
      <c r="C183" s="84" t="s">
        <v>494</v>
      </c>
      <c r="D183" s="86" t="s">
        <v>183</v>
      </c>
      <c r="E183" s="85" t="s">
        <v>223</v>
      </c>
      <c r="F183" s="84" t="s">
        <v>495</v>
      </c>
      <c r="G183" s="86" t="s">
        <v>20</v>
      </c>
      <c r="H183" s="84"/>
      <c r="I183" s="84"/>
      <c r="J183" s="85"/>
      <c r="K183" s="84"/>
    </row>
    <row r="184" spans="1:11" ht="18" customHeight="1" x14ac:dyDescent="0.2">
      <c r="A184" s="100">
        <v>197</v>
      </c>
      <c r="B184" s="101" t="s">
        <v>496</v>
      </c>
      <c r="C184" s="100" t="s">
        <v>497</v>
      </c>
      <c r="D184" s="86" t="s">
        <v>183</v>
      </c>
      <c r="E184" s="101" t="s">
        <v>223</v>
      </c>
      <c r="F184" s="100" t="s">
        <v>463</v>
      </c>
      <c r="G184" s="86" t="s">
        <v>20</v>
      </c>
      <c r="H184" s="100"/>
      <c r="I184" s="100"/>
      <c r="J184" s="101"/>
      <c r="K184" s="100"/>
    </row>
    <row r="185" spans="1:11" ht="18" customHeight="1" x14ac:dyDescent="0.2">
      <c r="A185" s="84">
        <v>198</v>
      </c>
      <c r="B185" s="85" t="s">
        <v>498</v>
      </c>
      <c r="C185" s="84" t="s">
        <v>499</v>
      </c>
      <c r="D185" s="86" t="s">
        <v>183</v>
      </c>
      <c r="E185" s="85" t="s">
        <v>223</v>
      </c>
      <c r="F185" s="84" t="s">
        <v>463</v>
      </c>
      <c r="G185" s="86" t="s">
        <v>20</v>
      </c>
      <c r="H185" s="84"/>
      <c r="I185" s="84"/>
      <c r="J185" s="85"/>
      <c r="K185" s="84"/>
    </row>
    <row r="186" spans="1:11" ht="18" customHeight="1" x14ac:dyDescent="0.2">
      <c r="A186" s="94">
        <v>199</v>
      </c>
      <c r="B186" s="95" t="s">
        <v>500</v>
      </c>
      <c r="C186" s="94" t="s">
        <v>501</v>
      </c>
      <c r="D186" s="86" t="s">
        <v>183</v>
      </c>
      <c r="E186" s="95" t="s">
        <v>223</v>
      </c>
      <c r="F186" s="94" t="s">
        <v>439</v>
      </c>
      <c r="G186" s="86" t="s">
        <v>20</v>
      </c>
      <c r="H186" s="94"/>
      <c r="I186" s="94"/>
      <c r="J186" s="95"/>
      <c r="K186" s="94"/>
    </row>
    <row r="187" spans="1:11" ht="18" customHeight="1" x14ac:dyDescent="0.2">
      <c r="A187" s="84">
        <v>200</v>
      </c>
      <c r="B187" s="85" t="s">
        <v>502</v>
      </c>
      <c r="C187" s="84" t="s">
        <v>503</v>
      </c>
      <c r="D187" s="86" t="s">
        <v>183</v>
      </c>
      <c r="E187" s="85" t="s">
        <v>223</v>
      </c>
      <c r="F187" s="84" t="s">
        <v>439</v>
      </c>
      <c r="G187" s="91" t="s">
        <v>92</v>
      </c>
      <c r="H187" s="84"/>
      <c r="I187" s="84"/>
      <c r="J187" s="85"/>
      <c r="K187" s="84"/>
    </row>
    <row r="188" spans="1:11" ht="18" customHeight="1" x14ac:dyDescent="0.2">
      <c r="A188" s="94">
        <v>201</v>
      </c>
      <c r="B188" s="95" t="s">
        <v>504</v>
      </c>
      <c r="C188" s="94" t="s">
        <v>505</v>
      </c>
      <c r="D188" s="86" t="s">
        <v>183</v>
      </c>
      <c r="E188" s="95" t="s">
        <v>223</v>
      </c>
      <c r="F188" s="94" t="s">
        <v>439</v>
      </c>
      <c r="G188" s="86" t="s">
        <v>20</v>
      </c>
      <c r="H188" s="94"/>
      <c r="I188" s="94"/>
      <c r="J188" s="95"/>
      <c r="K188" s="94"/>
    </row>
    <row r="189" spans="1:11" ht="18" customHeight="1" x14ac:dyDescent="0.2">
      <c r="A189" s="84">
        <v>202</v>
      </c>
      <c r="B189" s="85" t="s">
        <v>506</v>
      </c>
      <c r="C189" s="84" t="s">
        <v>507</v>
      </c>
      <c r="D189" s="86" t="s">
        <v>183</v>
      </c>
      <c r="E189" s="85" t="s">
        <v>223</v>
      </c>
      <c r="F189" s="84" t="s">
        <v>439</v>
      </c>
      <c r="G189" s="91" t="s">
        <v>92</v>
      </c>
      <c r="H189" s="84"/>
      <c r="I189" s="84"/>
      <c r="J189" s="85"/>
      <c r="K189" s="84"/>
    </row>
    <row r="190" spans="1:11" ht="18" customHeight="1" x14ac:dyDescent="0.2">
      <c r="A190" s="98">
        <v>203</v>
      </c>
      <c r="B190" s="99" t="s">
        <v>508</v>
      </c>
      <c r="C190" s="98" t="s">
        <v>509</v>
      </c>
      <c r="D190" s="86" t="s">
        <v>183</v>
      </c>
      <c r="E190" s="99" t="s">
        <v>223</v>
      </c>
      <c r="F190" s="98" t="s">
        <v>455</v>
      </c>
      <c r="G190" s="86" t="s">
        <v>20</v>
      </c>
      <c r="H190" s="98"/>
      <c r="I190" s="98"/>
      <c r="J190" s="99"/>
      <c r="K190" s="98"/>
    </row>
    <row r="191" spans="1:11" ht="18" customHeight="1" x14ac:dyDescent="0.2">
      <c r="A191" s="84">
        <v>204</v>
      </c>
      <c r="B191" s="85" t="s">
        <v>510</v>
      </c>
      <c r="C191" s="84" t="s">
        <v>511</v>
      </c>
      <c r="D191" s="86" t="s">
        <v>183</v>
      </c>
      <c r="E191" s="85" t="s">
        <v>223</v>
      </c>
      <c r="F191" s="84" t="s">
        <v>455</v>
      </c>
      <c r="G191" s="91" t="s">
        <v>92</v>
      </c>
      <c r="H191" s="84"/>
      <c r="I191" s="84"/>
      <c r="J191" s="85"/>
      <c r="K191" s="84"/>
    </row>
    <row r="193" spans="1:13" ht="22" customHeight="1" x14ac:dyDescent="0.2">
      <c r="A193" s="119" t="s">
        <v>334</v>
      </c>
      <c r="B193" s="120"/>
      <c r="C193" s="120"/>
      <c r="D193" s="102" t="s">
        <v>335</v>
      </c>
      <c r="E193" s="103">
        <f>COUNTA(B4:B191)</f>
        <v>184</v>
      </c>
      <c r="F193" s="102" t="s">
        <v>183</v>
      </c>
      <c r="G193" s="103">
        <f>COUNTIF(D4:D191,"Healthcare")</f>
        <v>67</v>
      </c>
      <c r="H193" s="102" t="s">
        <v>336</v>
      </c>
      <c r="I193" s="103">
        <f>COUNTIF(D4:D191,"Law Firm")</f>
        <v>20</v>
      </c>
      <c r="J193" s="102" t="s">
        <v>282</v>
      </c>
      <c r="K193" s="103">
        <f>COUNTIF(D4:D191,"Construction / Contracting")</f>
        <v>24</v>
      </c>
      <c r="L193" s="102" t="s">
        <v>17</v>
      </c>
      <c r="M193" s="103">
        <f>COUNTIF(D4:D191,"Regenerative Medicine")</f>
        <v>73</v>
      </c>
    </row>
    <row r="194" spans="1:13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</row>
    <row r="195" spans="1:13" x14ac:dyDescent="0.2">
      <c r="A195" s="121" t="s">
        <v>512</v>
      </c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87"/>
      <c r="M195" s="87"/>
    </row>
    <row r="196" spans="1:13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</row>
  </sheetData>
  <mergeCells count="6">
    <mergeCell ref="A1:K1"/>
    <mergeCell ref="A71:C71"/>
    <mergeCell ref="A193:C193"/>
    <mergeCell ref="A195:K195"/>
    <mergeCell ref="A73:K73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5"/>
  <sheetViews>
    <sheetView topLeftCell="C1" zoomScale="150" zoomScaleNormal="150" workbookViewId="0">
      <pane ySplit="3" topLeftCell="A4" activePane="bottomLeft" state="frozen"/>
      <selection pane="bottomLeft" activeCell="I10" sqref="I10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3" ht="30" customHeight="1" x14ac:dyDescent="0.2">
      <c r="A1" s="127" t="s">
        <v>513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3" ht="18" customHeight="1" x14ac:dyDescent="0.2">
      <c r="A2" s="125" t="s">
        <v>514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3" ht="21.75" customHeight="1" x14ac:dyDescent="0.2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180</v>
      </c>
      <c r="G3" s="18" t="s">
        <v>8</v>
      </c>
      <c r="H3" s="18" t="s">
        <v>9</v>
      </c>
      <c r="I3" s="18" t="s">
        <v>10</v>
      </c>
      <c r="J3" s="18" t="s">
        <v>11</v>
      </c>
      <c r="K3" s="18" t="s">
        <v>12</v>
      </c>
      <c r="L3" s="126" t="s">
        <v>515</v>
      </c>
      <c r="M3" s="113"/>
    </row>
    <row r="4" spans="1:13" ht="28" customHeight="1" x14ac:dyDescent="0.2">
      <c r="A4" s="2">
        <v>1</v>
      </c>
      <c r="B4" s="3" t="s">
        <v>181</v>
      </c>
      <c r="C4" s="2" t="s">
        <v>182</v>
      </c>
      <c r="D4" s="2" t="s">
        <v>183</v>
      </c>
      <c r="E4" s="3" t="s">
        <v>184</v>
      </c>
      <c r="F4" s="2" t="s">
        <v>185</v>
      </c>
      <c r="G4" s="4" t="s">
        <v>20</v>
      </c>
      <c r="H4" s="2" t="s">
        <v>21</v>
      </c>
      <c r="I4" s="2" t="s">
        <v>22</v>
      </c>
      <c r="J4" s="3" t="s">
        <v>516</v>
      </c>
      <c r="K4" s="2"/>
      <c r="L4" s="2" t="s">
        <v>517</v>
      </c>
      <c r="M4" s="2"/>
    </row>
    <row r="5" spans="1:13" ht="42" customHeight="1" x14ac:dyDescent="0.2">
      <c r="A5" s="19">
        <v>2</v>
      </c>
      <c r="B5" s="20" t="s">
        <v>186</v>
      </c>
      <c r="C5" s="19" t="s">
        <v>187</v>
      </c>
      <c r="D5" s="19" t="s">
        <v>183</v>
      </c>
      <c r="E5" s="20" t="s">
        <v>184</v>
      </c>
      <c r="F5" s="19" t="s">
        <v>188</v>
      </c>
      <c r="G5" s="4" t="s">
        <v>20</v>
      </c>
      <c r="H5" s="19" t="s">
        <v>21</v>
      </c>
      <c r="I5" s="19" t="s">
        <v>22</v>
      </c>
      <c r="J5" s="20" t="s">
        <v>518</v>
      </c>
      <c r="K5" s="19"/>
      <c r="L5" s="19"/>
      <c r="M5" s="19"/>
    </row>
    <row r="6" spans="1:13" ht="18" customHeight="1" x14ac:dyDescent="0.2">
      <c r="A6" s="2">
        <v>3</v>
      </c>
      <c r="B6" s="3" t="s">
        <v>189</v>
      </c>
      <c r="C6" s="2" t="s">
        <v>190</v>
      </c>
      <c r="D6" s="2" t="s">
        <v>183</v>
      </c>
      <c r="E6" s="3" t="s">
        <v>184</v>
      </c>
      <c r="F6" s="2" t="s">
        <v>185</v>
      </c>
      <c r="G6" s="7" t="s">
        <v>92</v>
      </c>
      <c r="H6" s="2"/>
      <c r="I6" s="2"/>
      <c r="J6" s="3"/>
      <c r="K6" s="2"/>
      <c r="L6" s="2"/>
      <c r="M6" s="2"/>
    </row>
    <row r="7" spans="1:13" ht="18" customHeight="1" x14ac:dyDescent="0.2">
      <c r="A7" s="19">
        <v>4</v>
      </c>
      <c r="B7" s="20" t="s">
        <v>191</v>
      </c>
      <c r="C7" s="19" t="s">
        <v>192</v>
      </c>
      <c r="D7" s="19" t="s">
        <v>183</v>
      </c>
      <c r="E7" s="20" t="s">
        <v>184</v>
      </c>
      <c r="F7" s="19" t="s">
        <v>185</v>
      </c>
      <c r="G7" s="7" t="s">
        <v>92</v>
      </c>
      <c r="H7" s="19"/>
      <c r="I7" s="19"/>
      <c r="J7" s="20"/>
      <c r="K7" s="19"/>
      <c r="L7" s="19"/>
      <c r="M7" s="19"/>
    </row>
    <row r="8" spans="1:13" ht="18" customHeight="1" x14ac:dyDescent="0.2">
      <c r="A8" s="2">
        <v>5</v>
      </c>
      <c r="B8" s="3" t="s">
        <v>193</v>
      </c>
      <c r="C8" s="2" t="s">
        <v>194</v>
      </c>
      <c r="D8" s="2" t="s">
        <v>183</v>
      </c>
      <c r="E8" s="3" t="s">
        <v>184</v>
      </c>
      <c r="F8" s="2" t="s">
        <v>185</v>
      </c>
      <c r="G8" s="4" t="s">
        <v>20</v>
      </c>
      <c r="H8" s="2" t="s">
        <v>21</v>
      </c>
      <c r="I8" s="2" t="s">
        <v>22</v>
      </c>
      <c r="J8" s="3" t="s">
        <v>519</v>
      </c>
      <c r="K8" s="2"/>
      <c r="L8" s="2" t="s">
        <v>520</v>
      </c>
      <c r="M8" s="2"/>
    </row>
    <row r="9" spans="1:13" ht="18" customHeight="1" x14ac:dyDescent="0.2">
      <c r="A9" s="19">
        <v>6</v>
      </c>
      <c r="B9" s="20" t="s">
        <v>195</v>
      </c>
      <c r="C9" s="19" t="s">
        <v>521</v>
      </c>
      <c r="D9" s="19" t="s">
        <v>183</v>
      </c>
      <c r="E9" s="20" t="s">
        <v>184</v>
      </c>
      <c r="F9" s="19" t="s">
        <v>185</v>
      </c>
      <c r="G9" s="4" t="s">
        <v>20</v>
      </c>
      <c r="H9" s="19" t="s">
        <v>21</v>
      </c>
      <c r="I9" s="19" t="s">
        <v>22</v>
      </c>
      <c r="J9" s="20" t="s">
        <v>522</v>
      </c>
      <c r="K9" s="19"/>
      <c r="L9" s="19"/>
      <c r="M9" s="19"/>
    </row>
    <row r="10" spans="1:13" ht="42" customHeight="1" x14ac:dyDescent="0.2">
      <c r="A10" s="2">
        <v>7</v>
      </c>
      <c r="B10" s="3" t="s">
        <v>196</v>
      </c>
      <c r="C10" s="2" t="s">
        <v>523</v>
      </c>
      <c r="D10" s="2" t="s">
        <v>183</v>
      </c>
      <c r="E10" s="3" t="s">
        <v>184</v>
      </c>
      <c r="F10" s="2" t="s">
        <v>185</v>
      </c>
      <c r="G10" s="4" t="s">
        <v>20</v>
      </c>
      <c r="H10" s="2" t="s">
        <v>21</v>
      </c>
      <c r="I10" s="2" t="s">
        <v>22</v>
      </c>
      <c r="J10" s="3" t="s">
        <v>524</v>
      </c>
      <c r="K10" s="2"/>
      <c r="L10" s="2"/>
      <c r="M10" s="2"/>
    </row>
    <row r="11" spans="1:13" ht="18" customHeight="1" x14ac:dyDescent="0.2">
      <c r="A11" s="19">
        <v>8</v>
      </c>
      <c r="B11" s="20" t="s">
        <v>198</v>
      </c>
      <c r="C11" s="19" t="s">
        <v>199</v>
      </c>
      <c r="D11" s="19" t="s">
        <v>183</v>
      </c>
      <c r="E11" s="20" t="s">
        <v>184</v>
      </c>
      <c r="F11" s="19" t="s">
        <v>185</v>
      </c>
      <c r="G11" s="7" t="s">
        <v>92</v>
      </c>
      <c r="H11" s="19"/>
      <c r="I11" s="19"/>
      <c r="J11" s="20"/>
      <c r="K11" s="19"/>
      <c r="L11" s="19"/>
      <c r="M11" s="19"/>
    </row>
    <row r="12" spans="1:13" ht="18" customHeight="1" x14ac:dyDescent="0.2">
      <c r="A12" s="2">
        <v>9</v>
      </c>
      <c r="B12" s="3" t="s">
        <v>200</v>
      </c>
      <c r="C12" s="2" t="s">
        <v>201</v>
      </c>
      <c r="D12" s="2" t="s">
        <v>183</v>
      </c>
      <c r="E12" s="3" t="s">
        <v>202</v>
      </c>
      <c r="F12" s="2" t="s">
        <v>185</v>
      </c>
      <c r="G12" s="4" t="s">
        <v>20</v>
      </c>
      <c r="H12" s="2"/>
      <c r="I12" s="2"/>
      <c r="J12" s="3"/>
      <c r="K12" s="2"/>
      <c r="L12" s="2"/>
      <c r="M12" s="2"/>
    </row>
    <row r="13" spans="1:13" ht="18" customHeight="1" x14ac:dyDescent="0.2">
      <c r="A13" s="19">
        <v>10</v>
      </c>
      <c r="B13" s="20" t="s">
        <v>203</v>
      </c>
      <c r="C13" s="19" t="s">
        <v>204</v>
      </c>
      <c r="D13" s="19" t="s">
        <v>183</v>
      </c>
      <c r="E13" s="20" t="s">
        <v>202</v>
      </c>
      <c r="F13" s="19" t="s">
        <v>185</v>
      </c>
      <c r="G13" s="4" t="s">
        <v>20</v>
      </c>
      <c r="H13" s="19"/>
      <c r="I13" s="19"/>
      <c r="J13" s="20"/>
      <c r="K13" s="19"/>
      <c r="L13" s="19"/>
      <c r="M13" s="19"/>
    </row>
    <row r="14" spans="1:13" ht="18" customHeight="1" x14ac:dyDescent="0.2">
      <c r="A14" s="2">
        <v>11</v>
      </c>
      <c r="B14" s="3" t="s">
        <v>205</v>
      </c>
      <c r="C14" s="2" t="s">
        <v>206</v>
      </c>
      <c r="D14" s="2" t="s">
        <v>183</v>
      </c>
      <c r="E14" s="3" t="s">
        <v>202</v>
      </c>
      <c r="F14" s="2" t="s">
        <v>185</v>
      </c>
      <c r="G14" s="4" t="s">
        <v>20</v>
      </c>
      <c r="H14" s="2"/>
      <c r="I14" s="2"/>
      <c r="J14" s="3"/>
      <c r="K14" s="2"/>
      <c r="L14" s="2"/>
      <c r="M14" s="2"/>
    </row>
    <row r="15" spans="1:13" ht="18" customHeight="1" x14ac:dyDescent="0.2">
      <c r="A15" s="19">
        <v>12</v>
      </c>
      <c r="B15" s="20" t="s">
        <v>207</v>
      </c>
      <c r="C15" s="19" t="s">
        <v>208</v>
      </c>
      <c r="D15" s="19" t="s">
        <v>183</v>
      </c>
      <c r="E15" s="20" t="s">
        <v>202</v>
      </c>
      <c r="F15" s="19" t="s">
        <v>185</v>
      </c>
      <c r="G15" s="4" t="s">
        <v>20</v>
      </c>
      <c r="H15" s="19"/>
      <c r="I15" s="19"/>
      <c r="J15" s="20"/>
      <c r="K15" s="19"/>
      <c r="L15" s="19"/>
      <c r="M15" s="19"/>
    </row>
    <row r="16" spans="1:13" ht="18" customHeight="1" x14ac:dyDescent="0.2">
      <c r="A16" s="2">
        <v>13</v>
      </c>
      <c r="B16" s="3" t="s">
        <v>209</v>
      </c>
      <c r="C16" s="2" t="s">
        <v>210</v>
      </c>
      <c r="D16" s="2" t="s">
        <v>183</v>
      </c>
      <c r="E16" s="3" t="s">
        <v>202</v>
      </c>
      <c r="F16" s="2" t="s">
        <v>185</v>
      </c>
      <c r="G16" s="4" t="s">
        <v>20</v>
      </c>
      <c r="H16" s="2"/>
      <c r="I16" s="2"/>
      <c r="J16" s="3"/>
      <c r="K16" s="2"/>
      <c r="L16" s="2"/>
      <c r="M16" s="2"/>
    </row>
    <row r="17" spans="1:13" ht="18" customHeight="1" x14ac:dyDescent="0.2">
      <c r="A17" s="19">
        <v>14</v>
      </c>
      <c r="B17" s="20" t="s">
        <v>211</v>
      </c>
      <c r="C17" s="19" t="s">
        <v>212</v>
      </c>
      <c r="D17" s="19" t="s">
        <v>183</v>
      </c>
      <c r="E17" s="20" t="s">
        <v>202</v>
      </c>
      <c r="F17" s="19" t="s">
        <v>185</v>
      </c>
      <c r="G17" s="7" t="s">
        <v>92</v>
      </c>
      <c r="H17" s="19"/>
      <c r="I17" s="19"/>
      <c r="J17" s="20"/>
      <c r="K17" s="19"/>
      <c r="L17" s="19"/>
      <c r="M17" s="19"/>
    </row>
    <row r="18" spans="1:13" ht="18" customHeight="1" x14ac:dyDescent="0.2">
      <c r="A18" s="2">
        <v>15</v>
      </c>
      <c r="B18" s="3" t="s">
        <v>213</v>
      </c>
      <c r="C18" s="2" t="s">
        <v>214</v>
      </c>
      <c r="D18" s="2" t="s">
        <v>183</v>
      </c>
      <c r="E18" s="3" t="s">
        <v>202</v>
      </c>
      <c r="F18" s="2" t="s">
        <v>185</v>
      </c>
      <c r="G18" s="4" t="s">
        <v>20</v>
      </c>
      <c r="H18" s="2"/>
      <c r="I18" s="2"/>
      <c r="J18" s="3"/>
      <c r="K18" s="2"/>
      <c r="L18" s="2"/>
      <c r="M18" s="2"/>
    </row>
    <row r="19" spans="1:13" ht="18" customHeight="1" x14ac:dyDescent="0.2">
      <c r="A19" s="19">
        <v>16</v>
      </c>
      <c r="B19" s="20" t="s">
        <v>215</v>
      </c>
      <c r="C19" s="19" t="s">
        <v>216</v>
      </c>
      <c r="D19" s="19" t="s">
        <v>183</v>
      </c>
      <c r="E19" s="20" t="s">
        <v>202</v>
      </c>
      <c r="F19" s="19" t="s">
        <v>188</v>
      </c>
      <c r="G19" s="4" t="s">
        <v>20</v>
      </c>
      <c r="H19" s="19"/>
      <c r="I19" s="19"/>
      <c r="J19" s="20"/>
      <c r="K19" s="19"/>
      <c r="L19" s="19"/>
      <c r="M19" s="19"/>
    </row>
    <row r="20" spans="1:13" ht="18" customHeight="1" x14ac:dyDescent="0.2">
      <c r="A20" s="2">
        <v>17</v>
      </c>
      <c r="B20" s="3" t="s">
        <v>217</v>
      </c>
      <c r="C20" s="2" t="s">
        <v>218</v>
      </c>
      <c r="D20" s="2" t="s">
        <v>183</v>
      </c>
      <c r="E20" s="3" t="s">
        <v>219</v>
      </c>
      <c r="F20" s="2" t="s">
        <v>220</v>
      </c>
      <c r="G20" s="7" t="s">
        <v>92</v>
      </c>
      <c r="H20" s="2"/>
      <c r="I20" s="2"/>
      <c r="J20" s="3"/>
      <c r="K20" s="2"/>
      <c r="L20" s="2"/>
      <c r="M20" s="2"/>
    </row>
    <row r="21" spans="1:13" ht="18" customHeight="1" x14ac:dyDescent="0.2">
      <c r="A21" s="19">
        <v>18</v>
      </c>
      <c r="B21" s="20" t="s">
        <v>221</v>
      </c>
      <c r="C21" s="19" t="s">
        <v>222</v>
      </c>
      <c r="D21" s="19" t="s">
        <v>183</v>
      </c>
      <c r="E21" s="20" t="s">
        <v>223</v>
      </c>
      <c r="F21" s="19" t="s">
        <v>188</v>
      </c>
      <c r="G21" s="4" t="s">
        <v>20</v>
      </c>
      <c r="H21" s="19"/>
      <c r="I21" s="19"/>
      <c r="J21" s="20"/>
      <c r="K21" s="19"/>
      <c r="L21" s="19"/>
      <c r="M21" s="19"/>
    </row>
    <row r="22" spans="1:13" ht="18" customHeight="1" x14ac:dyDescent="0.2">
      <c r="A22" s="2">
        <v>19</v>
      </c>
      <c r="B22" s="3" t="s">
        <v>224</v>
      </c>
      <c r="C22" s="2" t="s">
        <v>225</v>
      </c>
      <c r="D22" s="2" t="s">
        <v>183</v>
      </c>
      <c r="E22" s="3" t="s">
        <v>223</v>
      </c>
      <c r="F22" s="2" t="s">
        <v>220</v>
      </c>
      <c r="G22" s="7" t="s">
        <v>92</v>
      </c>
      <c r="H22" s="2"/>
      <c r="I22" s="2"/>
      <c r="J22" s="3"/>
      <c r="K22" s="2"/>
      <c r="L22" s="2"/>
      <c r="M22" s="2"/>
    </row>
    <row r="23" spans="1:13" ht="18" customHeight="1" x14ac:dyDescent="0.2">
      <c r="A23" s="19">
        <v>20</v>
      </c>
      <c r="B23" s="20" t="s">
        <v>226</v>
      </c>
      <c r="C23" s="19" t="s">
        <v>227</v>
      </c>
      <c r="D23" s="19" t="s">
        <v>183</v>
      </c>
      <c r="E23" s="20" t="s">
        <v>228</v>
      </c>
      <c r="F23" s="19" t="s">
        <v>188</v>
      </c>
      <c r="G23" s="7" t="s">
        <v>92</v>
      </c>
      <c r="H23" s="19"/>
      <c r="I23" s="19"/>
      <c r="J23" s="20"/>
      <c r="K23" s="19"/>
      <c r="L23" s="19"/>
      <c r="M23" s="19"/>
    </row>
    <row r="24" spans="1:13" ht="18" customHeight="1" x14ac:dyDescent="0.2">
      <c r="A24" s="2">
        <v>21</v>
      </c>
      <c r="B24" s="3" t="s">
        <v>229</v>
      </c>
      <c r="C24" s="2" t="s">
        <v>230</v>
      </c>
      <c r="D24" s="2" t="s">
        <v>183</v>
      </c>
      <c r="E24" s="3" t="s">
        <v>223</v>
      </c>
      <c r="F24" s="2" t="s">
        <v>220</v>
      </c>
      <c r="G24" s="4" t="s">
        <v>20</v>
      </c>
      <c r="H24" s="2"/>
      <c r="I24" s="2"/>
      <c r="J24" s="3"/>
      <c r="K24" s="2"/>
      <c r="L24" s="2"/>
      <c r="M24" s="2"/>
    </row>
    <row r="25" spans="1:13" ht="18" customHeight="1" x14ac:dyDescent="0.2">
      <c r="A25" s="19">
        <v>22</v>
      </c>
      <c r="B25" s="20" t="s">
        <v>231</v>
      </c>
      <c r="C25" s="19" t="s">
        <v>232</v>
      </c>
      <c r="D25" s="19" t="s">
        <v>183</v>
      </c>
      <c r="E25" s="20" t="s">
        <v>223</v>
      </c>
      <c r="F25" s="19" t="s">
        <v>185</v>
      </c>
      <c r="G25" s="4" t="s">
        <v>20</v>
      </c>
      <c r="H25" s="19"/>
      <c r="I25" s="19"/>
      <c r="J25" s="20"/>
      <c r="K25" s="19"/>
      <c r="L25" s="19"/>
      <c r="M25" s="19"/>
    </row>
  </sheetData>
  <mergeCells count="3">
    <mergeCell ref="A2:K2"/>
    <mergeCell ref="L3:M3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zoomScale="160" zoomScaleNormal="160" workbookViewId="0">
      <pane ySplit="3" topLeftCell="A4" activePane="bottomLeft" state="frozen"/>
      <selection pane="bottomLeft" activeCell="B12" sqref="B12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2" ht="30" customHeight="1" x14ac:dyDescent="0.2">
      <c r="A1" s="129" t="s">
        <v>525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2" ht="18" customHeight="1" x14ac:dyDescent="0.2">
      <c r="A2" s="128" t="s">
        <v>526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2" ht="21.75" customHeight="1" x14ac:dyDescent="0.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180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32" t="s">
        <v>527</v>
      </c>
    </row>
    <row r="4" spans="1:12" ht="18" customHeight="1" x14ac:dyDescent="0.2">
      <c r="A4" s="2">
        <v>23</v>
      </c>
      <c r="B4" s="3" t="s">
        <v>233</v>
      </c>
      <c r="C4" s="2" t="s">
        <v>234</v>
      </c>
      <c r="D4" s="2" t="s">
        <v>235</v>
      </c>
      <c r="E4" s="3" t="s">
        <v>236</v>
      </c>
      <c r="F4" s="2" t="s">
        <v>188</v>
      </c>
      <c r="G4" s="4" t="s">
        <v>20</v>
      </c>
      <c r="H4" s="2" t="s">
        <v>21</v>
      </c>
      <c r="I4" s="2" t="s">
        <v>22</v>
      </c>
      <c r="J4" s="3" t="s">
        <v>528</v>
      </c>
      <c r="K4" s="2"/>
    </row>
    <row r="5" spans="1:12" ht="18" customHeight="1" x14ac:dyDescent="0.2">
      <c r="A5" s="21">
        <v>24</v>
      </c>
      <c r="B5" s="22" t="s">
        <v>237</v>
      </c>
      <c r="C5" s="21" t="s">
        <v>238</v>
      </c>
      <c r="D5" s="21" t="s">
        <v>235</v>
      </c>
      <c r="E5" s="22" t="s">
        <v>236</v>
      </c>
      <c r="F5" s="21" t="s">
        <v>188</v>
      </c>
      <c r="G5" s="4" t="s">
        <v>20</v>
      </c>
      <c r="H5" s="21" t="s">
        <v>22</v>
      </c>
      <c r="I5" s="21"/>
      <c r="J5" s="22" t="s">
        <v>529</v>
      </c>
      <c r="K5" s="21"/>
    </row>
    <row r="6" spans="1:12" ht="18" customHeight="1" x14ac:dyDescent="0.2">
      <c r="A6" s="2">
        <v>25</v>
      </c>
      <c r="B6" s="3" t="s">
        <v>239</v>
      </c>
      <c r="C6" s="2" t="s">
        <v>240</v>
      </c>
      <c r="D6" s="2" t="s">
        <v>235</v>
      </c>
      <c r="E6" s="3" t="s">
        <v>236</v>
      </c>
      <c r="F6" s="2" t="s">
        <v>188</v>
      </c>
      <c r="G6" s="4" t="s">
        <v>20</v>
      </c>
      <c r="H6" s="2" t="s">
        <v>22</v>
      </c>
      <c r="I6" s="2"/>
      <c r="J6" s="3" t="s">
        <v>529</v>
      </c>
      <c r="K6" s="2"/>
    </row>
    <row r="7" spans="1:12" ht="18" customHeight="1" x14ac:dyDescent="0.2">
      <c r="A7" s="21">
        <v>26</v>
      </c>
      <c r="B7" s="22" t="s">
        <v>241</v>
      </c>
      <c r="C7" s="21" t="s">
        <v>242</v>
      </c>
      <c r="D7" s="21" t="s">
        <v>235</v>
      </c>
      <c r="E7" s="22" t="s">
        <v>236</v>
      </c>
      <c r="F7" s="21" t="s">
        <v>185</v>
      </c>
      <c r="G7" s="4" t="s">
        <v>20</v>
      </c>
      <c r="H7" s="21" t="s">
        <v>22</v>
      </c>
      <c r="I7" s="21"/>
      <c r="J7" s="22" t="s">
        <v>529</v>
      </c>
      <c r="K7" s="21"/>
    </row>
    <row r="8" spans="1:12" ht="18" customHeight="1" x14ac:dyDescent="0.2">
      <c r="A8" s="2">
        <v>27</v>
      </c>
      <c r="B8" s="3" t="s">
        <v>243</v>
      </c>
      <c r="C8" s="2" t="s">
        <v>244</v>
      </c>
      <c r="D8" s="2" t="s">
        <v>235</v>
      </c>
      <c r="E8" s="3" t="s">
        <v>236</v>
      </c>
      <c r="F8" s="2" t="s">
        <v>185</v>
      </c>
      <c r="G8" s="4" t="s">
        <v>20</v>
      </c>
      <c r="H8" s="2" t="s">
        <v>22</v>
      </c>
      <c r="I8" s="2"/>
      <c r="J8" s="3" t="s">
        <v>529</v>
      </c>
      <c r="K8" s="2"/>
    </row>
    <row r="9" spans="1:12" ht="18" customHeight="1" x14ac:dyDescent="0.2">
      <c r="A9" s="21">
        <v>28</v>
      </c>
      <c r="B9" s="22" t="s">
        <v>245</v>
      </c>
      <c r="C9" s="21" t="s">
        <v>246</v>
      </c>
      <c r="D9" s="21" t="s">
        <v>235</v>
      </c>
      <c r="E9" s="22" t="s">
        <v>236</v>
      </c>
      <c r="F9" s="21" t="s">
        <v>188</v>
      </c>
      <c r="G9" s="4" t="s">
        <v>20</v>
      </c>
      <c r="H9" s="21" t="s">
        <v>22</v>
      </c>
      <c r="I9" s="21"/>
      <c r="J9" s="22" t="s">
        <v>529</v>
      </c>
      <c r="K9" s="21"/>
    </row>
    <row r="10" spans="1:12" ht="18" customHeight="1" x14ac:dyDescent="0.2">
      <c r="A10" s="2">
        <v>29</v>
      </c>
      <c r="B10" s="3" t="s">
        <v>247</v>
      </c>
      <c r="C10" s="2" t="s">
        <v>248</v>
      </c>
      <c r="D10" s="2" t="s">
        <v>235</v>
      </c>
      <c r="E10" s="3" t="s">
        <v>236</v>
      </c>
      <c r="F10" s="2" t="s">
        <v>188</v>
      </c>
      <c r="G10" s="7" t="s">
        <v>92</v>
      </c>
      <c r="H10" s="2"/>
      <c r="I10" s="2"/>
      <c r="J10" s="3"/>
      <c r="K10" s="2"/>
    </row>
    <row r="11" spans="1:12" ht="18" customHeight="1" x14ac:dyDescent="0.2">
      <c r="A11" s="21">
        <v>30</v>
      </c>
      <c r="B11" s="22" t="s">
        <v>249</v>
      </c>
      <c r="C11" s="21" t="s">
        <v>250</v>
      </c>
      <c r="D11" s="21" t="s">
        <v>235</v>
      </c>
      <c r="E11" s="22" t="s">
        <v>236</v>
      </c>
      <c r="F11" s="21" t="s">
        <v>188</v>
      </c>
      <c r="G11" s="4" t="s">
        <v>20</v>
      </c>
      <c r="H11" s="21" t="s">
        <v>22</v>
      </c>
      <c r="I11" s="21"/>
      <c r="J11" s="22" t="s">
        <v>529</v>
      </c>
      <c r="K11" s="21"/>
    </row>
    <row r="12" spans="1:12" ht="18" customHeight="1" x14ac:dyDescent="0.2">
      <c r="A12" s="2">
        <v>31</v>
      </c>
      <c r="B12" s="3" t="s">
        <v>251</v>
      </c>
      <c r="C12" s="2" t="s">
        <v>252</v>
      </c>
      <c r="D12" s="2" t="s">
        <v>235</v>
      </c>
      <c r="E12" s="3" t="s">
        <v>236</v>
      </c>
      <c r="F12" s="2" t="s">
        <v>220</v>
      </c>
      <c r="G12" s="4" t="s">
        <v>20</v>
      </c>
      <c r="H12" s="2"/>
      <c r="I12" s="2"/>
      <c r="J12" s="3"/>
      <c r="K12" s="2"/>
    </row>
    <row r="13" spans="1:12" ht="27.75" customHeight="1" x14ac:dyDescent="0.2">
      <c r="A13" s="21">
        <v>32</v>
      </c>
      <c r="B13" s="22" t="s">
        <v>253</v>
      </c>
      <c r="C13" s="21" t="s">
        <v>254</v>
      </c>
      <c r="D13" s="21" t="s">
        <v>235</v>
      </c>
      <c r="E13" s="22" t="s">
        <v>255</v>
      </c>
      <c r="F13" s="21" t="s">
        <v>188</v>
      </c>
      <c r="G13" s="4" t="s">
        <v>20</v>
      </c>
      <c r="H13" s="21"/>
      <c r="I13" s="21"/>
      <c r="J13" s="22"/>
      <c r="K13" s="21"/>
    </row>
    <row r="14" spans="1:12" ht="27.75" customHeight="1" x14ac:dyDescent="0.2">
      <c r="A14" s="2">
        <v>33</v>
      </c>
      <c r="B14" s="3" t="s">
        <v>256</v>
      </c>
      <c r="C14" s="2" t="s">
        <v>257</v>
      </c>
      <c r="D14" s="2" t="s">
        <v>235</v>
      </c>
      <c r="E14" s="3" t="s">
        <v>255</v>
      </c>
      <c r="F14" s="2" t="s">
        <v>220</v>
      </c>
      <c r="G14" s="4" t="s">
        <v>20</v>
      </c>
      <c r="H14" s="2"/>
      <c r="I14" s="2"/>
      <c r="J14" s="3"/>
      <c r="K14" s="2"/>
    </row>
    <row r="15" spans="1:12" ht="18" customHeight="1" x14ac:dyDescent="0.2">
      <c r="A15" s="21">
        <v>34</v>
      </c>
      <c r="B15" s="22" t="s">
        <v>258</v>
      </c>
      <c r="C15" s="21" t="s">
        <v>259</v>
      </c>
      <c r="D15" s="21" t="s">
        <v>235</v>
      </c>
      <c r="E15" s="22" t="s">
        <v>260</v>
      </c>
      <c r="F15" s="21" t="s">
        <v>185</v>
      </c>
      <c r="G15" s="4" t="s">
        <v>20</v>
      </c>
      <c r="H15" s="21"/>
      <c r="I15" s="21"/>
      <c r="J15" s="22"/>
      <c r="K15" s="21"/>
    </row>
    <row r="16" spans="1:12" ht="18" customHeight="1" x14ac:dyDescent="0.2">
      <c r="A16" s="2">
        <v>35</v>
      </c>
      <c r="B16" s="3" t="s">
        <v>261</v>
      </c>
      <c r="C16" s="2" t="s">
        <v>262</v>
      </c>
      <c r="D16" s="2" t="s">
        <v>235</v>
      </c>
      <c r="E16" s="3" t="s">
        <v>263</v>
      </c>
      <c r="F16" s="2" t="s">
        <v>188</v>
      </c>
      <c r="G16" s="4" t="s">
        <v>20</v>
      </c>
      <c r="H16" s="2"/>
      <c r="I16" s="2"/>
      <c r="J16" s="3"/>
      <c r="K16" s="2"/>
    </row>
    <row r="17" spans="1:11" ht="18" customHeight="1" x14ac:dyDescent="0.2">
      <c r="A17" s="21">
        <v>36</v>
      </c>
      <c r="B17" s="22" t="s">
        <v>264</v>
      </c>
      <c r="C17" s="21" t="s">
        <v>265</v>
      </c>
      <c r="D17" s="21" t="s">
        <v>235</v>
      </c>
      <c r="E17" s="22" t="s">
        <v>263</v>
      </c>
      <c r="F17" s="21" t="s">
        <v>185</v>
      </c>
      <c r="G17" s="4" t="s">
        <v>20</v>
      </c>
      <c r="H17" s="21"/>
      <c r="I17" s="21"/>
      <c r="J17" s="22"/>
      <c r="K17" s="21"/>
    </row>
    <row r="18" spans="1:11" ht="18" customHeight="1" x14ac:dyDescent="0.2">
      <c r="A18" s="2">
        <v>37</v>
      </c>
      <c r="B18" s="3" t="s">
        <v>266</v>
      </c>
      <c r="C18" s="2" t="s">
        <v>267</v>
      </c>
      <c r="D18" s="2" t="s">
        <v>235</v>
      </c>
      <c r="E18" s="3" t="s">
        <v>260</v>
      </c>
      <c r="F18" s="2" t="s">
        <v>188</v>
      </c>
      <c r="G18" s="7" t="s">
        <v>92</v>
      </c>
      <c r="H18" s="2"/>
      <c r="I18" s="2"/>
      <c r="J18" s="3"/>
      <c r="K18" s="2"/>
    </row>
    <row r="19" spans="1:11" ht="18" customHeight="1" x14ac:dyDescent="0.2">
      <c r="A19" s="21">
        <v>38</v>
      </c>
      <c r="B19" s="22" t="s">
        <v>268</v>
      </c>
      <c r="C19" s="21" t="s">
        <v>269</v>
      </c>
      <c r="D19" s="21" t="s">
        <v>235</v>
      </c>
      <c r="E19" s="22" t="s">
        <v>260</v>
      </c>
      <c r="F19" s="21" t="s">
        <v>220</v>
      </c>
      <c r="G19" s="7" t="s">
        <v>92</v>
      </c>
      <c r="H19" s="21"/>
      <c r="I19" s="21"/>
      <c r="J19" s="22"/>
      <c r="K19" s="21"/>
    </row>
    <row r="20" spans="1:11" ht="18" customHeight="1" x14ac:dyDescent="0.2">
      <c r="A20" s="2">
        <v>39</v>
      </c>
      <c r="B20" s="3" t="s">
        <v>270</v>
      </c>
      <c r="C20" s="2" t="s">
        <v>271</v>
      </c>
      <c r="D20" s="2" t="s">
        <v>235</v>
      </c>
      <c r="E20" s="3" t="s">
        <v>260</v>
      </c>
      <c r="F20" s="2" t="s">
        <v>220</v>
      </c>
      <c r="G20" s="7" t="s">
        <v>92</v>
      </c>
      <c r="H20" s="2"/>
      <c r="I20" s="2"/>
      <c r="J20" s="3"/>
      <c r="K20" s="2"/>
    </row>
    <row r="21" spans="1:11" ht="18" customHeight="1" x14ac:dyDescent="0.2">
      <c r="A21" s="21">
        <v>40</v>
      </c>
      <c r="B21" s="22" t="s">
        <v>272</v>
      </c>
      <c r="C21" s="21" t="s">
        <v>273</v>
      </c>
      <c r="D21" s="21" t="s">
        <v>235</v>
      </c>
      <c r="E21" s="22" t="s">
        <v>274</v>
      </c>
      <c r="F21" s="21" t="s">
        <v>220</v>
      </c>
      <c r="G21" s="4" t="s">
        <v>20</v>
      </c>
      <c r="H21" s="21"/>
      <c r="I21" s="21"/>
      <c r="J21" s="22"/>
      <c r="K21" s="21"/>
    </row>
    <row r="22" spans="1:11" ht="18" customHeight="1" x14ac:dyDescent="0.2">
      <c r="A22" s="2">
        <v>41</v>
      </c>
      <c r="B22" s="3" t="s">
        <v>275</v>
      </c>
      <c r="C22" s="2" t="s">
        <v>276</v>
      </c>
      <c r="D22" s="2" t="s">
        <v>235</v>
      </c>
      <c r="E22" s="3" t="s">
        <v>277</v>
      </c>
      <c r="F22" s="2" t="s">
        <v>220</v>
      </c>
      <c r="G22" s="7" t="s">
        <v>92</v>
      </c>
      <c r="H22" s="2"/>
      <c r="I22" s="2"/>
      <c r="J22" s="3"/>
      <c r="K22" s="2"/>
    </row>
    <row r="23" spans="1:11" ht="18" customHeight="1" x14ac:dyDescent="0.2">
      <c r="A23" s="21">
        <v>42</v>
      </c>
      <c r="B23" s="22" t="s">
        <v>278</v>
      </c>
      <c r="C23" s="21" t="s">
        <v>279</v>
      </c>
      <c r="D23" s="21" t="s">
        <v>235</v>
      </c>
      <c r="E23" s="22" t="s">
        <v>277</v>
      </c>
      <c r="F23" s="21" t="s">
        <v>188</v>
      </c>
      <c r="G23" s="7" t="s">
        <v>92</v>
      </c>
      <c r="H23" s="21"/>
      <c r="I23" s="21"/>
      <c r="J23" s="22"/>
      <c r="K23" s="21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"/>
  <sheetViews>
    <sheetView zoomScale="160" zoomScaleNormal="160" workbookViewId="0">
      <pane ySplit="3" topLeftCell="A26" activePane="bottomLeft" state="frozen"/>
      <selection pane="bottomLeft" activeCell="B10" sqref="B10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</cols>
  <sheetData>
    <row r="1" spans="1:11" ht="30" customHeight="1" x14ac:dyDescent="0.2">
      <c r="A1" s="131" t="s">
        <v>530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18" customHeight="1" x14ac:dyDescent="0.2">
      <c r="A2" s="130" t="s">
        <v>531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21.75" customHeight="1" x14ac:dyDescent="0.2">
      <c r="A3" s="23" t="s">
        <v>2</v>
      </c>
      <c r="B3" s="23" t="s">
        <v>3</v>
      </c>
      <c r="C3" s="23" t="s">
        <v>4</v>
      </c>
      <c r="D3" s="23" t="s">
        <v>5</v>
      </c>
      <c r="E3" s="23" t="s">
        <v>6</v>
      </c>
      <c r="F3" s="23" t="s">
        <v>180</v>
      </c>
      <c r="G3" s="23" t="s">
        <v>8</v>
      </c>
      <c r="H3" s="23" t="s">
        <v>9</v>
      </c>
      <c r="I3" s="23" t="s">
        <v>10</v>
      </c>
      <c r="J3" s="23" t="s">
        <v>11</v>
      </c>
      <c r="K3" s="23" t="s">
        <v>12</v>
      </c>
    </row>
    <row r="4" spans="1:11" ht="42" customHeight="1" x14ac:dyDescent="0.2">
      <c r="A4" s="2">
        <v>43</v>
      </c>
      <c r="B4" s="3" t="s">
        <v>280</v>
      </c>
      <c r="C4" s="2" t="s">
        <v>281</v>
      </c>
      <c r="D4" s="2" t="s">
        <v>282</v>
      </c>
      <c r="E4" s="3" t="s">
        <v>283</v>
      </c>
      <c r="F4" s="2" t="s">
        <v>220</v>
      </c>
      <c r="G4" s="4" t="s">
        <v>20</v>
      </c>
      <c r="H4" s="2" t="s">
        <v>21</v>
      </c>
      <c r="I4" s="2" t="s">
        <v>22</v>
      </c>
      <c r="J4" s="3" t="s">
        <v>532</v>
      </c>
      <c r="K4" s="2" t="s">
        <v>533</v>
      </c>
    </row>
    <row r="5" spans="1:11" ht="28" customHeight="1" x14ac:dyDescent="0.2">
      <c r="A5" s="24">
        <v>44</v>
      </c>
      <c r="B5" s="25" t="s">
        <v>284</v>
      </c>
      <c r="C5" s="24" t="s">
        <v>285</v>
      </c>
      <c r="D5" s="24" t="s">
        <v>282</v>
      </c>
      <c r="E5" s="25" t="s">
        <v>283</v>
      </c>
      <c r="F5" s="24" t="s">
        <v>188</v>
      </c>
      <c r="G5" s="4" t="s">
        <v>20</v>
      </c>
      <c r="H5" s="24" t="s">
        <v>21</v>
      </c>
      <c r="I5" s="24" t="s">
        <v>22</v>
      </c>
      <c r="J5" s="25" t="s">
        <v>534</v>
      </c>
      <c r="K5" s="24"/>
    </row>
    <row r="6" spans="1:11" ht="27.75" customHeight="1" x14ac:dyDescent="0.2">
      <c r="A6" s="2">
        <v>45</v>
      </c>
      <c r="B6" s="3" t="s">
        <v>286</v>
      </c>
      <c r="C6" s="2" t="s">
        <v>287</v>
      </c>
      <c r="D6" s="2" t="s">
        <v>282</v>
      </c>
      <c r="E6" s="3" t="s">
        <v>283</v>
      </c>
      <c r="F6" s="2" t="s">
        <v>185</v>
      </c>
      <c r="G6" s="4" t="s">
        <v>20</v>
      </c>
      <c r="H6" s="2" t="s">
        <v>21</v>
      </c>
      <c r="I6" s="2" t="s">
        <v>22</v>
      </c>
      <c r="J6" s="3" t="s">
        <v>535</v>
      </c>
      <c r="K6" s="2"/>
    </row>
    <row r="7" spans="1:11" ht="27.75" customHeight="1" x14ac:dyDescent="0.2">
      <c r="A7" s="24">
        <v>46</v>
      </c>
      <c r="B7" s="25" t="s">
        <v>288</v>
      </c>
      <c r="C7" s="24" t="s">
        <v>289</v>
      </c>
      <c r="D7" s="24" t="s">
        <v>282</v>
      </c>
      <c r="E7" s="25" t="s">
        <v>283</v>
      </c>
      <c r="F7" s="24" t="s">
        <v>188</v>
      </c>
      <c r="G7" s="4" t="s">
        <v>20</v>
      </c>
      <c r="H7" s="24" t="s">
        <v>21</v>
      </c>
      <c r="I7" s="24" t="s">
        <v>22</v>
      </c>
      <c r="J7" s="25" t="s">
        <v>535</v>
      </c>
      <c r="K7" s="24"/>
    </row>
    <row r="8" spans="1:11" ht="27.75" customHeight="1" x14ac:dyDescent="0.2">
      <c r="A8" s="2">
        <v>47</v>
      </c>
      <c r="B8" s="3" t="s">
        <v>290</v>
      </c>
      <c r="C8" s="2" t="s">
        <v>291</v>
      </c>
      <c r="D8" s="2" t="s">
        <v>282</v>
      </c>
      <c r="E8" s="3" t="s">
        <v>283</v>
      </c>
      <c r="F8" s="2" t="s">
        <v>188</v>
      </c>
      <c r="G8" s="4" t="s">
        <v>20</v>
      </c>
      <c r="H8" s="2" t="s">
        <v>22</v>
      </c>
      <c r="I8" s="2" t="s">
        <v>22</v>
      </c>
      <c r="J8" s="3" t="s">
        <v>535</v>
      </c>
      <c r="K8" s="2"/>
    </row>
    <row r="9" spans="1:11" ht="28" customHeight="1" x14ac:dyDescent="0.2">
      <c r="A9" s="24">
        <v>48</v>
      </c>
      <c r="B9" s="25" t="s">
        <v>292</v>
      </c>
      <c r="C9" s="24" t="s">
        <v>293</v>
      </c>
      <c r="D9" s="24" t="s">
        <v>282</v>
      </c>
      <c r="E9" s="25" t="s">
        <v>283</v>
      </c>
      <c r="F9" s="24" t="s">
        <v>185</v>
      </c>
      <c r="G9" s="4" t="s">
        <v>20</v>
      </c>
      <c r="H9" s="24" t="s">
        <v>21</v>
      </c>
      <c r="I9" s="24" t="s">
        <v>22</v>
      </c>
      <c r="J9" s="25" t="s">
        <v>536</v>
      </c>
      <c r="K9" s="24"/>
    </row>
    <row r="10" spans="1:11" ht="27.75" customHeight="1" x14ac:dyDescent="0.2">
      <c r="A10" s="2">
        <v>49</v>
      </c>
      <c r="B10" s="3" t="s">
        <v>294</v>
      </c>
      <c r="C10" s="2" t="s">
        <v>295</v>
      </c>
      <c r="D10" s="2" t="s">
        <v>282</v>
      </c>
      <c r="E10" s="3" t="s">
        <v>283</v>
      </c>
      <c r="F10" s="2" t="s">
        <v>185</v>
      </c>
      <c r="G10" s="4" t="s">
        <v>20</v>
      </c>
      <c r="H10" s="2"/>
      <c r="I10" s="2"/>
      <c r="J10" s="3"/>
      <c r="K10" s="2"/>
    </row>
    <row r="11" spans="1:11" ht="18" customHeight="1" x14ac:dyDescent="0.2">
      <c r="A11" s="24">
        <v>50</v>
      </c>
      <c r="B11" s="25" t="s">
        <v>296</v>
      </c>
      <c r="C11" s="24" t="s">
        <v>297</v>
      </c>
      <c r="D11" s="24" t="s">
        <v>282</v>
      </c>
      <c r="E11" s="25" t="s">
        <v>283</v>
      </c>
      <c r="F11" s="24" t="s">
        <v>185</v>
      </c>
      <c r="G11" s="4" t="s">
        <v>20</v>
      </c>
      <c r="H11" s="24"/>
      <c r="I11" s="24"/>
      <c r="J11" s="25"/>
      <c r="K11" s="24"/>
    </row>
    <row r="12" spans="1:11" ht="18" customHeight="1" x14ac:dyDescent="0.2">
      <c r="A12" s="2">
        <v>51</v>
      </c>
      <c r="B12" s="3" t="s">
        <v>298</v>
      </c>
      <c r="C12" s="2" t="s">
        <v>299</v>
      </c>
      <c r="D12" s="2" t="s">
        <v>282</v>
      </c>
      <c r="E12" s="3" t="s">
        <v>283</v>
      </c>
      <c r="F12" s="2" t="s">
        <v>188</v>
      </c>
      <c r="G12" s="7" t="s">
        <v>92</v>
      </c>
      <c r="H12" s="2"/>
      <c r="I12" s="2"/>
      <c r="J12" s="3"/>
      <c r="K12" s="2"/>
    </row>
    <row r="13" spans="1:11" ht="18" customHeight="1" x14ac:dyDescent="0.2">
      <c r="A13" s="24">
        <v>52</v>
      </c>
      <c r="B13" s="25" t="s">
        <v>300</v>
      </c>
      <c r="C13" s="24" t="s">
        <v>301</v>
      </c>
      <c r="D13" s="24" t="s">
        <v>282</v>
      </c>
      <c r="E13" s="25" t="s">
        <v>283</v>
      </c>
      <c r="F13" s="24" t="s">
        <v>188</v>
      </c>
      <c r="G13" s="4" t="s">
        <v>20</v>
      </c>
      <c r="H13" s="24"/>
      <c r="I13" s="24"/>
      <c r="J13" s="25"/>
      <c r="K13" s="24"/>
    </row>
    <row r="14" spans="1:11" ht="18" customHeight="1" x14ac:dyDescent="0.2">
      <c r="A14" s="2">
        <v>53</v>
      </c>
      <c r="B14" s="3" t="s">
        <v>302</v>
      </c>
      <c r="C14" s="2" t="s">
        <v>303</v>
      </c>
      <c r="D14" s="2" t="s">
        <v>282</v>
      </c>
      <c r="E14" s="3" t="s">
        <v>283</v>
      </c>
      <c r="F14" s="2" t="s">
        <v>185</v>
      </c>
      <c r="G14" s="4" t="s">
        <v>20</v>
      </c>
      <c r="H14" s="2"/>
      <c r="I14" s="2"/>
      <c r="J14" s="3"/>
      <c r="K14" s="2"/>
    </row>
    <row r="15" spans="1:11" ht="27.75" customHeight="1" x14ac:dyDescent="0.2">
      <c r="A15" s="24">
        <v>54</v>
      </c>
      <c r="B15" s="25" t="s">
        <v>304</v>
      </c>
      <c r="C15" s="24" t="s">
        <v>305</v>
      </c>
      <c r="D15" s="24" t="s">
        <v>282</v>
      </c>
      <c r="E15" s="25" t="s">
        <v>306</v>
      </c>
      <c r="F15" s="24" t="s">
        <v>188</v>
      </c>
      <c r="G15" s="4" t="s">
        <v>20</v>
      </c>
      <c r="H15" s="24"/>
      <c r="I15" s="24"/>
      <c r="J15" s="25"/>
      <c r="K15" s="24"/>
    </row>
    <row r="16" spans="1:11" ht="18" customHeight="1" x14ac:dyDescent="0.2">
      <c r="A16" s="2">
        <v>55</v>
      </c>
      <c r="B16" s="3" t="s">
        <v>307</v>
      </c>
      <c r="C16" s="2" t="s">
        <v>308</v>
      </c>
      <c r="D16" s="2" t="s">
        <v>282</v>
      </c>
      <c r="E16" s="3" t="s">
        <v>309</v>
      </c>
      <c r="F16" s="2" t="s">
        <v>220</v>
      </c>
      <c r="G16" s="4" t="s">
        <v>20</v>
      </c>
      <c r="H16" s="2"/>
      <c r="I16" s="2"/>
      <c r="J16" s="3"/>
      <c r="K16" s="2"/>
    </row>
    <row r="17" spans="1:11" ht="27.75" customHeight="1" x14ac:dyDescent="0.2">
      <c r="A17" s="24">
        <v>56</v>
      </c>
      <c r="B17" s="25" t="s">
        <v>310</v>
      </c>
      <c r="C17" s="24" t="s">
        <v>311</v>
      </c>
      <c r="D17" s="24" t="s">
        <v>282</v>
      </c>
      <c r="E17" s="25" t="s">
        <v>312</v>
      </c>
      <c r="F17" s="24" t="s">
        <v>188</v>
      </c>
      <c r="G17" s="4" t="s">
        <v>20</v>
      </c>
      <c r="H17" s="24"/>
      <c r="I17" s="24"/>
      <c r="J17" s="25"/>
      <c r="K17" s="24"/>
    </row>
    <row r="18" spans="1:11" ht="18" customHeight="1" x14ac:dyDescent="0.2">
      <c r="A18" s="2">
        <v>57</v>
      </c>
      <c r="B18" s="3" t="s">
        <v>313</v>
      </c>
      <c r="C18" s="2" t="s">
        <v>314</v>
      </c>
      <c r="D18" s="2" t="s">
        <v>282</v>
      </c>
      <c r="E18" s="3" t="s">
        <v>312</v>
      </c>
      <c r="F18" s="2" t="s">
        <v>185</v>
      </c>
      <c r="G18" s="4" t="s">
        <v>20</v>
      </c>
      <c r="H18" s="2"/>
      <c r="I18" s="2"/>
      <c r="J18" s="3"/>
      <c r="K18" s="2"/>
    </row>
    <row r="19" spans="1:11" ht="18" customHeight="1" x14ac:dyDescent="0.2">
      <c r="A19" s="24">
        <v>58</v>
      </c>
      <c r="B19" s="25" t="s">
        <v>315</v>
      </c>
      <c r="C19" s="24" t="s">
        <v>316</v>
      </c>
      <c r="D19" s="24" t="s">
        <v>282</v>
      </c>
      <c r="E19" s="25" t="s">
        <v>309</v>
      </c>
      <c r="F19" s="24" t="s">
        <v>220</v>
      </c>
      <c r="G19" s="4" t="s">
        <v>20</v>
      </c>
      <c r="H19" s="24"/>
      <c r="I19" s="24"/>
      <c r="J19" s="25"/>
      <c r="K19" s="24"/>
    </row>
    <row r="20" spans="1:11" ht="18" customHeight="1" x14ac:dyDescent="0.2">
      <c r="A20" s="2">
        <v>59</v>
      </c>
      <c r="B20" s="3" t="s">
        <v>317</v>
      </c>
      <c r="C20" s="2" t="s">
        <v>318</v>
      </c>
      <c r="D20" s="2" t="s">
        <v>282</v>
      </c>
      <c r="E20" s="3" t="s">
        <v>309</v>
      </c>
      <c r="F20" s="2" t="s">
        <v>188</v>
      </c>
      <c r="G20" s="7" t="s">
        <v>92</v>
      </c>
      <c r="H20" s="2"/>
      <c r="I20" s="2"/>
      <c r="J20" s="3"/>
      <c r="K20" s="2"/>
    </row>
    <row r="21" spans="1:11" ht="18" customHeight="1" x14ac:dyDescent="0.2">
      <c r="A21" s="24">
        <v>60</v>
      </c>
      <c r="B21" s="25" t="s">
        <v>319</v>
      </c>
      <c r="C21" s="24" t="s">
        <v>320</v>
      </c>
      <c r="D21" s="24" t="s">
        <v>282</v>
      </c>
      <c r="E21" s="25" t="s">
        <v>312</v>
      </c>
      <c r="F21" s="24" t="s">
        <v>220</v>
      </c>
      <c r="G21" s="4" t="s">
        <v>20</v>
      </c>
      <c r="H21" s="24"/>
      <c r="I21" s="24"/>
      <c r="J21" s="25"/>
      <c r="K21" s="24"/>
    </row>
    <row r="22" spans="1:11" ht="18" customHeight="1" x14ac:dyDescent="0.2">
      <c r="A22" s="2">
        <v>61</v>
      </c>
      <c r="B22" s="3" t="s">
        <v>321</v>
      </c>
      <c r="C22" s="2" t="s">
        <v>322</v>
      </c>
      <c r="D22" s="2" t="s">
        <v>282</v>
      </c>
      <c r="E22" s="3" t="s">
        <v>309</v>
      </c>
      <c r="F22" s="2" t="s">
        <v>220</v>
      </c>
      <c r="G22" s="7" t="s">
        <v>92</v>
      </c>
      <c r="H22" s="2"/>
      <c r="I22" s="2"/>
      <c r="J22" s="3"/>
      <c r="K22" s="2"/>
    </row>
    <row r="23" spans="1:11" ht="18" customHeight="1" x14ac:dyDescent="0.2">
      <c r="A23" s="24">
        <v>62</v>
      </c>
      <c r="B23" s="25" t="s">
        <v>323</v>
      </c>
      <c r="C23" s="24" t="s">
        <v>324</v>
      </c>
      <c r="D23" s="24" t="s">
        <v>282</v>
      </c>
      <c r="E23" s="25" t="s">
        <v>325</v>
      </c>
      <c r="F23" s="24" t="s">
        <v>185</v>
      </c>
      <c r="G23" s="4" t="s">
        <v>20</v>
      </c>
      <c r="H23" s="24"/>
      <c r="I23" s="24"/>
      <c r="J23" s="25"/>
      <c r="K23" s="24"/>
    </row>
    <row r="24" spans="1:11" ht="18" customHeight="1" x14ac:dyDescent="0.2">
      <c r="A24" s="2">
        <v>63</v>
      </c>
      <c r="B24" s="3" t="s">
        <v>326</v>
      </c>
      <c r="C24" s="2" t="s">
        <v>327</v>
      </c>
      <c r="D24" s="2" t="s">
        <v>282</v>
      </c>
      <c r="E24" s="3" t="s">
        <v>325</v>
      </c>
      <c r="F24" s="2" t="s">
        <v>220</v>
      </c>
      <c r="G24" s="4" t="s">
        <v>20</v>
      </c>
      <c r="H24" s="2"/>
      <c r="I24" s="2"/>
      <c r="J24" s="3"/>
      <c r="K24" s="2"/>
    </row>
    <row r="25" spans="1:11" ht="18" customHeight="1" x14ac:dyDescent="0.2">
      <c r="A25" s="24">
        <v>64</v>
      </c>
      <c r="B25" s="25" t="s">
        <v>328</v>
      </c>
      <c r="C25" s="24" t="s">
        <v>329</v>
      </c>
      <c r="D25" s="24" t="s">
        <v>282</v>
      </c>
      <c r="E25" s="25" t="s">
        <v>325</v>
      </c>
      <c r="F25" s="24" t="s">
        <v>220</v>
      </c>
      <c r="G25" s="4" t="s">
        <v>20</v>
      </c>
      <c r="H25" s="24"/>
      <c r="I25" s="24"/>
      <c r="J25" s="25"/>
      <c r="K25" s="24"/>
    </row>
    <row r="26" spans="1:11" ht="18" customHeight="1" x14ac:dyDescent="0.2">
      <c r="A26" s="2">
        <v>65</v>
      </c>
      <c r="B26" s="3" t="s">
        <v>330</v>
      </c>
      <c r="C26" s="2" t="s">
        <v>331</v>
      </c>
      <c r="D26" s="2" t="s">
        <v>282</v>
      </c>
      <c r="E26" s="3" t="s">
        <v>325</v>
      </c>
      <c r="F26" s="2" t="s">
        <v>220</v>
      </c>
      <c r="G26" s="7" t="s">
        <v>92</v>
      </c>
      <c r="H26" s="2"/>
      <c r="I26" s="2"/>
      <c r="J26" s="3"/>
      <c r="K26" s="2"/>
    </row>
    <row r="27" spans="1:11" ht="18" customHeight="1" x14ac:dyDescent="0.2">
      <c r="A27" s="24">
        <v>66</v>
      </c>
      <c r="B27" s="25" t="s">
        <v>332</v>
      </c>
      <c r="C27" s="24" t="s">
        <v>333</v>
      </c>
      <c r="D27" s="24" t="s">
        <v>282</v>
      </c>
      <c r="E27" s="25" t="s">
        <v>325</v>
      </c>
      <c r="F27" s="24" t="s">
        <v>185</v>
      </c>
      <c r="G27" s="4" t="s">
        <v>20</v>
      </c>
      <c r="H27" s="24"/>
      <c r="I27" s="24"/>
      <c r="J27" s="25"/>
      <c r="K27" s="24"/>
    </row>
  </sheetData>
  <mergeCells count="2">
    <mergeCell ref="A2:K2"/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8"/>
  <sheetViews>
    <sheetView zoomScale="130" zoomScaleNormal="130" workbookViewId="0">
      <pane ySplit="3" topLeftCell="A9" activePane="bottomLeft" state="frozen"/>
      <selection pane="bottomLeft" activeCell="D18" sqref="D18"/>
    </sheetView>
  </sheetViews>
  <sheetFormatPr baseColWidth="10" defaultColWidth="8.6640625" defaultRowHeight="15" customHeight="1" x14ac:dyDescent="0.2"/>
  <cols>
    <col min="1" max="1" width="4" customWidth="1"/>
    <col min="2" max="2" width="38" customWidth="1"/>
    <col min="3" max="3" width="18" customWidth="1"/>
    <col min="4" max="4" width="20" customWidth="1"/>
    <col min="5" max="5" width="22" customWidth="1"/>
    <col min="6" max="6" width="16" customWidth="1"/>
    <col min="7" max="8" width="10" customWidth="1"/>
    <col min="9" max="9" width="13" customWidth="1"/>
    <col min="10" max="10" width="32" customWidth="1"/>
    <col min="11" max="11" width="15" customWidth="1"/>
    <col min="12" max="12" width="12.33203125" bestFit="1" customWidth="1"/>
    <col min="13" max="13" width="13.33203125" bestFit="1" customWidth="1"/>
  </cols>
  <sheetData>
    <row r="1" spans="1:14" ht="30" customHeight="1" x14ac:dyDescent="0.2">
      <c r="A1" s="136" t="s">
        <v>537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4" ht="18" customHeight="1" x14ac:dyDescent="0.2">
      <c r="A2" s="134" t="s">
        <v>538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4" ht="28" customHeight="1" x14ac:dyDescent="0.2">
      <c r="A3" s="26" t="s">
        <v>2</v>
      </c>
      <c r="B3" s="26" t="s">
        <v>3</v>
      </c>
      <c r="C3" s="26" t="s">
        <v>4</v>
      </c>
      <c r="D3" s="26" t="s">
        <v>5</v>
      </c>
      <c r="E3" s="26" t="s">
        <v>6</v>
      </c>
      <c r="F3" s="26" t="s">
        <v>180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132" t="s">
        <v>527</v>
      </c>
      <c r="M3" s="113"/>
      <c r="N3" s="36" t="s">
        <v>539</v>
      </c>
    </row>
    <row r="4" spans="1:14" ht="15.75" customHeight="1" x14ac:dyDescent="0.2">
      <c r="A4" s="133" t="s">
        <v>540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t="s">
        <v>541</v>
      </c>
      <c r="M4" t="s">
        <v>542</v>
      </c>
    </row>
    <row r="5" spans="1:14" ht="42" customHeight="1" x14ac:dyDescent="0.2">
      <c r="A5" s="11">
        <v>67</v>
      </c>
      <c r="B5" s="12" t="s">
        <v>339</v>
      </c>
      <c r="C5" s="11" t="s">
        <v>340</v>
      </c>
      <c r="D5" s="13" t="s">
        <v>17</v>
      </c>
      <c r="E5" s="27" t="s">
        <v>18</v>
      </c>
      <c r="F5" s="11" t="s">
        <v>188</v>
      </c>
      <c r="G5" s="14" t="s">
        <v>20</v>
      </c>
      <c r="H5" s="11" t="s">
        <v>21</v>
      </c>
      <c r="I5" s="11" t="s">
        <v>22</v>
      </c>
      <c r="J5" s="12" t="s">
        <v>543</v>
      </c>
      <c r="K5" s="11" t="s">
        <v>544</v>
      </c>
      <c r="L5" s="31" t="s">
        <v>545</v>
      </c>
      <c r="M5" s="31" t="s">
        <v>546</v>
      </c>
    </row>
    <row r="6" spans="1:14" x14ac:dyDescent="0.2">
      <c r="A6" s="15">
        <v>68</v>
      </c>
      <c r="B6" s="16" t="s">
        <v>341</v>
      </c>
      <c r="C6" s="15" t="s">
        <v>342</v>
      </c>
      <c r="D6" s="13" t="s">
        <v>17</v>
      </c>
      <c r="E6" s="28" t="s">
        <v>64</v>
      </c>
      <c r="F6" s="15" t="s">
        <v>188</v>
      </c>
      <c r="G6" s="35" t="s">
        <v>547</v>
      </c>
      <c r="H6" s="15" t="s">
        <v>21</v>
      </c>
      <c r="I6" s="15" t="s">
        <v>22</v>
      </c>
      <c r="J6" s="16" t="s">
        <v>548</v>
      </c>
      <c r="K6" s="15"/>
    </row>
    <row r="7" spans="1:14" ht="28" customHeight="1" x14ac:dyDescent="0.2">
      <c r="A7" s="11">
        <v>69</v>
      </c>
      <c r="B7" s="12" t="s">
        <v>343</v>
      </c>
      <c r="C7" s="11" t="s">
        <v>344</v>
      </c>
      <c r="D7" s="13" t="s">
        <v>17</v>
      </c>
      <c r="E7" s="27" t="s">
        <v>345</v>
      </c>
      <c r="F7" s="11" t="s">
        <v>220</v>
      </c>
      <c r="G7" s="14" t="s">
        <v>20</v>
      </c>
      <c r="H7" s="11" t="s">
        <v>21</v>
      </c>
      <c r="I7" s="11" t="s">
        <v>22</v>
      </c>
      <c r="J7" s="12" t="s">
        <v>549</v>
      </c>
      <c r="K7" s="11" t="s">
        <v>550</v>
      </c>
      <c r="M7" s="34" t="s">
        <v>551</v>
      </c>
    </row>
    <row r="8" spans="1:14" ht="28" customHeight="1" x14ac:dyDescent="0.2">
      <c r="A8" s="15">
        <v>70</v>
      </c>
      <c r="B8" s="16" t="s">
        <v>346</v>
      </c>
      <c r="C8" s="15" t="s">
        <v>347</v>
      </c>
      <c r="D8" s="13" t="s">
        <v>17</v>
      </c>
      <c r="E8" s="28" t="s">
        <v>348</v>
      </c>
      <c r="F8" s="15" t="s">
        <v>188</v>
      </c>
      <c r="G8" s="14" t="s">
        <v>20</v>
      </c>
      <c r="H8" s="15" t="s">
        <v>21</v>
      </c>
      <c r="I8" s="15" t="s">
        <v>22</v>
      </c>
      <c r="J8" s="16" t="s">
        <v>552</v>
      </c>
      <c r="K8" s="15" t="s">
        <v>550</v>
      </c>
      <c r="L8" s="33" t="s">
        <v>553</v>
      </c>
    </row>
    <row r="9" spans="1:14" ht="70" customHeight="1" x14ac:dyDescent="0.2">
      <c r="A9" s="11">
        <v>71</v>
      </c>
      <c r="B9" s="12" t="s">
        <v>349</v>
      </c>
      <c r="C9" s="11" t="s">
        <v>350</v>
      </c>
      <c r="D9" s="13" t="s">
        <v>17</v>
      </c>
      <c r="E9" s="27" t="s">
        <v>64</v>
      </c>
      <c r="F9" s="11" t="s">
        <v>220</v>
      </c>
      <c r="G9" s="14" t="s">
        <v>20</v>
      </c>
      <c r="H9" s="11" t="s">
        <v>21</v>
      </c>
      <c r="I9" s="11" t="s">
        <v>22</v>
      </c>
      <c r="J9" s="12" t="s">
        <v>554</v>
      </c>
      <c r="K9" s="11" t="s">
        <v>544</v>
      </c>
      <c r="L9" s="31" t="s">
        <v>555</v>
      </c>
    </row>
    <row r="10" spans="1:14" ht="42" customHeight="1" x14ac:dyDescent="0.2">
      <c r="A10" s="15">
        <v>72</v>
      </c>
      <c r="B10" s="16" t="s">
        <v>351</v>
      </c>
      <c r="C10" s="15" t="s">
        <v>352</v>
      </c>
      <c r="D10" s="13" t="s">
        <v>17</v>
      </c>
      <c r="E10" s="28" t="s">
        <v>353</v>
      </c>
      <c r="F10" s="15" t="s">
        <v>354</v>
      </c>
      <c r="G10" s="14" t="s">
        <v>20</v>
      </c>
      <c r="H10" s="15" t="s">
        <v>21</v>
      </c>
      <c r="I10" s="15" t="s">
        <v>22</v>
      </c>
      <c r="J10" s="16" t="s">
        <v>556</v>
      </c>
      <c r="K10" s="15" t="s">
        <v>550</v>
      </c>
      <c r="L10" s="33" t="s">
        <v>557</v>
      </c>
    </row>
    <row r="11" spans="1:14" ht="42" customHeight="1" x14ac:dyDescent="0.2">
      <c r="A11" s="11">
        <v>73</v>
      </c>
      <c r="B11" s="12" t="s">
        <v>355</v>
      </c>
      <c r="C11" s="11" t="s">
        <v>356</v>
      </c>
      <c r="D11" s="13" t="s">
        <v>17</v>
      </c>
      <c r="E11" s="27" t="s">
        <v>116</v>
      </c>
      <c r="F11" s="11" t="s">
        <v>188</v>
      </c>
      <c r="G11" s="14" t="s">
        <v>20</v>
      </c>
      <c r="H11" s="11" t="s">
        <v>21</v>
      </c>
      <c r="I11" s="11" t="s">
        <v>22</v>
      </c>
      <c r="J11" s="12" t="s">
        <v>558</v>
      </c>
      <c r="K11" s="11"/>
      <c r="L11" s="31" t="s">
        <v>559</v>
      </c>
    </row>
    <row r="12" spans="1:14" ht="18" customHeight="1" x14ac:dyDescent="0.2">
      <c r="A12" s="37">
        <v>74</v>
      </c>
      <c r="B12" s="38" t="s">
        <v>357</v>
      </c>
      <c r="C12" s="37" t="s">
        <v>560</v>
      </c>
      <c r="D12" s="39" t="s">
        <v>17</v>
      </c>
      <c r="E12" s="40" t="s">
        <v>64</v>
      </c>
      <c r="F12" s="37" t="s">
        <v>354</v>
      </c>
      <c r="G12" s="41" t="s">
        <v>20</v>
      </c>
      <c r="H12" s="37" t="s">
        <v>21</v>
      </c>
      <c r="I12" s="37" t="s">
        <v>22</v>
      </c>
      <c r="J12" s="38" t="s">
        <v>561</v>
      </c>
      <c r="K12" s="37"/>
      <c r="L12" s="42"/>
    </row>
    <row r="13" spans="1:14" ht="18" customHeight="1" x14ac:dyDescent="0.2">
      <c r="A13" s="37">
        <v>75</v>
      </c>
      <c r="B13" s="38" t="s">
        <v>359</v>
      </c>
      <c r="C13" s="37" t="s">
        <v>360</v>
      </c>
      <c r="D13" s="39" t="s">
        <v>17</v>
      </c>
      <c r="E13" s="40" t="s">
        <v>64</v>
      </c>
      <c r="F13" s="37" t="s">
        <v>188</v>
      </c>
      <c r="G13" s="43" t="s">
        <v>92</v>
      </c>
      <c r="H13" s="37" t="s">
        <v>22</v>
      </c>
      <c r="I13" s="37" t="s">
        <v>22</v>
      </c>
      <c r="J13" s="38" t="s">
        <v>562</v>
      </c>
      <c r="K13" s="37"/>
      <c r="L13" s="42"/>
    </row>
    <row r="14" spans="1:14" ht="42" customHeight="1" x14ac:dyDescent="0.2">
      <c r="A14" s="15">
        <v>76</v>
      </c>
      <c r="B14" s="16" t="s">
        <v>361</v>
      </c>
      <c r="C14" s="15" t="s">
        <v>362</v>
      </c>
      <c r="D14" s="13" t="s">
        <v>17</v>
      </c>
      <c r="E14" s="28" t="s">
        <v>363</v>
      </c>
      <c r="F14" s="15" t="s">
        <v>185</v>
      </c>
      <c r="G14" s="14" t="s">
        <v>20</v>
      </c>
      <c r="H14" s="15" t="s">
        <v>21</v>
      </c>
      <c r="I14" s="15" t="s">
        <v>22</v>
      </c>
      <c r="J14" s="16" t="s">
        <v>563</v>
      </c>
      <c r="K14" s="15" t="s">
        <v>564</v>
      </c>
    </row>
    <row r="15" spans="1:14" ht="18" customHeight="1" x14ac:dyDescent="0.2">
      <c r="A15" s="11">
        <v>77</v>
      </c>
      <c r="B15" s="12" t="s">
        <v>364</v>
      </c>
      <c r="C15" s="11" t="s">
        <v>565</v>
      </c>
      <c r="D15" s="13" t="s">
        <v>17</v>
      </c>
      <c r="E15" s="27" t="s">
        <v>366</v>
      </c>
      <c r="F15" s="11" t="s">
        <v>188</v>
      </c>
      <c r="G15" s="14" t="s">
        <v>20</v>
      </c>
      <c r="H15" s="11" t="s">
        <v>21</v>
      </c>
      <c r="I15" s="11" t="s">
        <v>22</v>
      </c>
      <c r="J15" s="12" t="s">
        <v>563</v>
      </c>
      <c r="K15" s="11"/>
    </row>
    <row r="16" spans="1:14" ht="70" customHeight="1" x14ac:dyDescent="0.2">
      <c r="A16" s="15">
        <v>78</v>
      </c>
      <c r="B16" s="16" t="s">
        <v>367</v>
      </c>
      <c r="C16" s="15" t="s">
        <v>566</v>
      </c>
      <c r="D16" s="13" t="s">
        <v>17</v>
      </c>
      <c r="E16" s="28" t="s">
        <v>30</v>
      </c>
      <c r="F16" s="15" t="s">
        <v>188</v>
      </c>
      <c r="G16" s="14" t="s">
        <v>20</v>
      </c>
      <c r="H16" s="15" t="s">
        <v>21</v>
      </c>
      <c r="I16" s="15" t="s">
        <v>22</v>
      </c>
      <c r="J16" s="16" t="s">
        <v>567</v>
      </c>
      <c r="K16" s="15"/>
      <c r="L16" s="33" t="s">
        <v>568</v>
      </c>
    </row>
    <row r="17" spans="1:12" ht="15.75" customHeight="1" x14ac:dyDescent="0.2">
      <c r="A17" s="133" t="s">
        <v>569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</row>
    <row r="18" spans="1:12" ht="18" customHeight="1" x14ac:dyDescent="0.2">
      <c r="A18" s="11">
        <v>79</v>
      </c>
      <c r="B18" s="12" t="s">
        <v>369</v>
      </c>
      <c r="C18" s="11" t="s">
        <v>370</v>
      </c>
      <c r="D18" s="13" t="s">
        <v>17</v>
      </c>
      <c r="E18" s="27" t="s">
        <v>371</v>
      </c>
      <c r="F18" s="11" t="s">
        <v>188</v>
      </c>
      <c r="G18" s="14" t="s">
        <v>20</v>
      </c>
      <c r="H18" s="11" t="s">
        <v>21</v>
      </c>
      <c r="I18" s="11"/>
      <c r="J18" s="12" t="s">
        <v>570</v>
      </c>
      <c r="K18" s="11"/>
      <c r="L18" s="31" t="s">
        <v>568</v>
      </c>
    </row>
    <row r="19" spans="1:12" ht="18" customHeight="1" x14ac:dyDescent="0.2">
      <c r="A19" s="15">
        <v>80</v>
      </c>
      <c r="B19" s="16" t="s">
        <v>372</v>
      </c>
      <c r="C19" s="15" t="s">
        <v>373</v>
      </c>
      <c r="D19" s="13" t="s">
        <v>17</v>
      </c>
      <c r="E19" s="28" t="s">
        <v>374</v>
      </c>
      <c r="F19" s="15" t="s">
        <v>220</v>
      </c>
      <c r="G19" s="14" t="s">
        <v>20</v>
      </c>
      <c r="H19" s="15"/>
      <c r="I19" s="15"/>
      <c r="J19" s="16"/>
      <c r="K19" s="15"/>
    </row>
    <row r="20" spans="1:12" ht="18" customHeight="1" x14ac:dyDescent="0.2">
      <c r="A20" s="11">
        <v>81</v>
      </c>
      <c r="B20" s="12" t="s">
        <v>375</v>
      </c>
      <c r="C20" s="11" t="s">
        <v>376</v>
      </c>
      <c r="D20" s="13" t="s">
        <v>17</v>
      </c>
      <c r="E20" s="27" t="s">
        <v>377</v>
      </c>
      <c r="F20" s="11" t="s">
        <v>188</v>
      </c>
      <c r="G20" s="14" t="s">
        <v>20</v>
      </c>
      <c r="H20" s="11"/>
      <c r="I20" s="11"/>
      <c r="J20" s="12"/>
      <c r="K20" s="11"/>
    </row>
    <row r="21" spans="1:12" ht="18" customHeight="1" x14ac:dyDescent="0.2">
      <c r="A21" s="15">
        <v>82</v>
      </c>
      <c r="B21" s="16" t="s">
        <v>378</v>
      </c>
      <c r="C21" s="15" t="s">
        <v>379</v>
      </c>
      <c r="D21" s="13" t="s">
        <v>17</v>
      </c>
      <c r="E21" s="28" t="s">
        <v>377</v>
      </c>
      <c r="F21" s="15" t="s">
        <v>185</v>
      </c>
      <c r="G21" s="14" t="s">
        <v>20</v>
      </c>
      <c r="H21" s="15"/>
      <c r="I21" s="15"/>
      <c r="J21" s="16"/>
      <c r="K21" s="15"/>
    </row>
    <row r="22" spans="1:12" ht="18" customHeight="1" x14ac:dyDescent="0.2">
      <c r="A22" s="11">
        <v>83</v>
      </c>
      <c r="B22" s="12" t="s">
        <v>380</v>
      </c>
      <c r="C22" s="11" t="s">
        <v>381</v>
      </c>
      <c r="D22" s="13" t="s">
        <v>17</v>
      </c>
      <c r="E22" s="27" t="s">
        <v>382</v>
      </c>
      <c r="F22" s="11" t="s">
        <v>188</v>
      </c>
      <c r="G22" s="14" t="s">
        <v>20</v>
      </c>
      <c r="H22" s="11" t="s">
        <v>21</v>
      </c>
      <c r="I22" s="11" t="s">
        <v>22</v>
      </c>
      <c r="J22" s="12"/>
      <c r="K22" s="11"/>
    </row>
    <row r="23" spans="1:12" ht="18" customHeight="1" x14ac:dyDescent="0.2">
      <c r="A23" s="15">
        <v>84</v>
      </c>
      <c r="B23" s="16" t="s">
        <v>383</v>
      </c>
      <c r="C23" s="15" t="s">
        <v>384</v>
      </c>
      <c r="D23" s="13" t="s">
        <v>17</v>
      </c>
      <c r="E23" s="28" t="s">
        <v>377</v>
      </c>
      <c r="F23" s="15" t="s">
        <v>185</v>
      </c>
      <c r="G23" s="14" t="s">
        <v>20</v>
      </c>
      <c r="H23" s="15"/>
      <c r="I23" s="15"/>
      <c r="J23" s="16"/>
      <c r="K23" s="15"/>
    </row>
    <row r="24" spans="1:12" ht="18" customHeight="1" x14ac:dyDescent="0.2">
      <c r="A24" s="11">
        <v>85</v>
      </c>
      <c r="B24" s="12" t="s">
        <v>385</v>
      </c>
      <c r="C24" s="11" t="s">
        <v>386</v>
      </c>
      <c r="D24" s="13" t="s">
        <v>17</v>
      </c>
      <c r="E24" s="27" t="s">
        <v>387</v>
      </c>
      <c r="F24" s="11" t="s">
        <v>185</v>
      </c>
      <c r="G24" s="14" t="s">
        <v>20</v>
      </c>
      <c r="H24" s="11" t="s">
        <v>21</v>
      </c>
      <c r="I24" s="11" t="s">
        <v>22</v>
      </c>
      <c r="J24" s="12" t="s">
        <v>571</v>
      </c>
      <c r="K24" s="11"/>
    </row>
    <row r="25" spans="1:12" ht="15.75" customHeight="1" x14ac:dyDescent="0.2">
      <c r="A25" s="133" t="s">
        <v>572</v>
      </c>
      <c r="B25" s="107"/>
      <c r="C25" s="107"/>
      <c r="D25" s="107"/>
      <c r="E25" s="107"/>
      <c r="F25" s="107"/>
      <c r="G25" s="107"/>
      <c r="H25" s="107"/>
      <c r="I25" s="107"/>
      <c r="J25" s="107"/>
      <c r="K25" s="107"/>
    </row>
    <row r="26" spans="1:12" ht="18" customHeight="1" x14ac:dyDescent="0.2">
      <c r="A26" s="15">
        <v>86</v>
      </c>
      <c r="B26" s="16" t="s">
        <v>388</v>
      </c>
      <c r="C26" s="15" t="s">
        <v>389</v>
      </c>
      <c r="D26" s="13" t="s">
        <v>17</v>
      </c>
      <c r="E26" s="28" t="s">
        <v>390</v>
      </c>
      <c r="F26" s="15" t="s">
        <v>185</v>
      </c>
      <c r="G26" s="14" t="s">
        <v>20</v>
      </c>
      <c r="H26" s="15"/>
      <c r="I26" s="15"/>
      <c r="J26" s="16"/>
      <c r="K26" s="15"/>
    </row>
    <row r="27" spans="1:12" ht="18" customHeight="1" x14ac:dyDescent="0.2">
      <c r="A27" s="11">
        <v>87</v>
      </c>
      <c r="B27" s="12" t="s">
        <v>391</v>
      </c>
      <c r="C27" s="11" t="s">
        <v>392</v>
      </c>
      <c r="D27" s="13" t="s">
        <v>17</v>
      </c>
      <c r="E27" s="27" t="s">
        <v>390</v>
      </c>
      <c r="F27" s="11" t="s">
        <v>185</v>
      </c>
      <c r="G27" s="14" t="s">
        <v>20</v>
      </c>
      <c r="H27" s="11"/>
      <c r="I27" s="11"/>
      <c r="J27" s="12"/>
      <c r="K27" s="11"/>
    </row>
    <row r="28" spans="1:12" ht="18" customHeight="1" x14ac:dyDescent="0.2">
      <c r="A28" s="15">
        <v>88</v>
      </c>
      <c r="B28" s="16" t="s">
        <v>393</v>
      </c>
      <c r="C28" s="15" t="s">
        <v>394</v>
      </c>
      <c r="D28" s="13" t="s">
        <v>17</v>
      </c>
      <c r="E28" s="28" t="s">
        <v>390</v>
      </c>
      <c r="F28" s="15" t="s">
        <v>185</v>
      </c>
      <c r="G28" s="14" t="s">
        <v>20</v>
      </c>
      <c r="H28" s="15"/>
      <c r="I28" s="15"/>
      <c r="J28" s="16"/>
      <c r="K28" s="15"/>
    </row>
    <row r="29" spans="1:12" ht="18" customHeight="1" x14ac:dyDescent="0.2">
      <c r="A29" s="11">
        <v>89</v>
      </c>
      <c r="B29" s="12" t="s">
        <v>395</v>
      </c>
      <c r="C29" s="11" t="s">
        <v>396</v>
      </c>
      <c r="D29" s="13" t="s">
        <v>17</v>
      </c>
      <c r="E29" s="27" t="s">
        <v>390</v>
      </c>
      <c r="F29" s="11" t="s">
        <v>220</v>
      </c>
      <c r="G29" s="14" t="s">
        <v>20</v>
      </c>
      <c r="H29" s="11"/>
      <c r="I29" s="11"/>
      <c r="J29" s="12"/>
      <c r="K29" s="11"/>
    </row>
    <row r="30" spans="1:12" ht="18" customHeight="1" x14ac:dyDescent="0.2">
      <c r="A30" s="15">
        <v>90</v>
      </c>
      <c r="B30" s="16" t="s">
        <v>397</v>
      </c>
      <c r="C30" s="15" t="s">
        <v>398</v>
      </c>
      <c r="D30" s="13" t="s">
        <v>17</v>
      </c>
      <c r="E30" s="28" t="s">
        <v>399</v>
      </c>
      <c r="F30" s="15" t="s">
        <v>188</v>
      </c>
      <c r="G30" s="14" t="s">
        <v>20</v>
      </c>
      <c r="H30" s="15"/>
      <c r="I30" s="15"/>
      <c r="J30" s="16"/>
      <c r="K30" s="15"/>
    </row>
    <row r="31" spans="1:12" ht="15.75" customHeight="1" x14ac:dyDescent="0.2">
      <c r="A31" s="133" t="s">
        <v>573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</row>
    <row r="32" spans="1:12" ht="84" customHeight="1" x14ac:dyDescent="0.2">
      <c r="A32" s="11">
        <v>91</v>
      </c>
      <c r="B32" s="12" t="s">
        <v>400</v>
      </c>
      <c r="C32" s="11" t="s">
        <v>401</v>
      </c>
      <c r="D32" s="13" t="s">
        <v>17</v>
      </c>
      <c r="E32" s="27" t="s">
        <v>402</v>
      </c>
      <c r="F32" s="11" t="s">
        <v>185</v>
      </c>
      <c r="G32" s="14" t="s">
        <v>20</v>
      </c>
      <c r="H32" s="11" t="s">
        <v>21</v>
      </c>
      <c r="I32" s="11" t="s">
        <v>22</v>
      </c>
      <c r="J32" s="12" t="s">
        <v>574</v>
      </c>
      <c r="K32" s="11"/>
    </row>
    <row r="33" spans="1:11" ht="18" customHeight="1" x14ac:dyDescent="0.2">
      <c r="A33" s="15">
        <v>92</v>
      </c>
      <c r="B33" s="16" t="s">
        <v>403</v>
      </c>
      <c r="C33" s="15" t="s">
        <v>404</v>
      </c>
      <c r="D33" s="13" t="s">
        <v>17</v>
      </c>
      <c r="E33" s="28" t="s">
        <v>405</v>
      </c>
      <c r="F33" s="15" t="s">
        <v>188</v>
      </c>
      <c r="G33" s="14" t="s">
        <v>20</v>
      </c>
      <c r="H33" s="15"/>
      <c r="I33" s="15"/>
      <c r="J33" s="16"/>
      <c r="K33" s="15"/>
    </row>
    <row r="34" spans="1:11" ht="18" customHeight="1" x14ac:dyDescent="0.2">
      <c r="A34" s="11">
        <v>93</v>
      </c>
      <c r="B34" s="12" t="s">
        <v>406</v>
      </c>
      <c r="C34" s="11" t="s">
        <v>407</v>
      </c>
      <c r="D34" s="13" t="s">
        <v>17</v>
      </c>
      <c r="E34" s="27" t="s">
        <v>405</v>
      </c>
      <c r="F34" s="11" t="s">
        <v>220</v>
      </c>
      <c r="G34" s="17" t="s">
        <v>92</v>
      </c>
      <c r="H34" s="11"/>
      <c r="I34" s="11"/>
      <c r="J34" s="12"/>
      <c r="K34" s="11"/>
    </row>
    <row r="35" spans="1:11" ht="18" customHeight="1" x14ac:dyDescent="0.2">
      <c r="A35" s="15">
        <v>94</v>
      </c>
      <c r="B35" s="16" t="s">
        <v>408</v>
      </c>
      <c r="C35" s="15" t="s">
        <v>409</v>
      </c>
      <c r="D35" s="13" t="s">
        <v>17</v>
      </c>
      <c r="E35" s="28" t="s">
        <v>410</v>
      </c>
      <c r="F35" s="15" t="s">
        <v>188</v>
      </c>
      <c r="G35" s="14" t="s">
        <v>20</v>
      </c>
      <c r="H35" s="15"/>
      <c r="I35" s="15"/>
      <c r="J35" s="16"/>
      <c r="K35" s="15"/>
    </row>
    <row r="36" spans="1:11" ht="18" customHeight="1" x14ac:dyDescent="0.2">
      <c r="A36" s="11">
        <v>95</v>
      </c>
      <c r="B36" s="12" t="s">
        <v>411</v>
      </c>
      <c r="C36" s="11" t="s">
        <v>412</v>
      </c>
      <c r="D36" s="13" t="s">
        <v>17</v>
      </c>
      <c r="E36" s="27" t="s">
        <v>410</v>
      </c>
      <c r="F36" s="11" t="s">
        <v>188</v>
      </c>
      <c r="G36" s="14" t="s">
        <v>20</v>
      </c>
      <c r="H36" s="11"/>
      <c r="I36" s="11"/>
      <c r="J36" s="12"/>
      <c r="K36" s="11"/>
    </row>
    <row r="38" spans="1:11" ht="21.75" customHeight="1" x14ac:dyDescent="0.2">
      <c r="A38" s="135" t="s">
        <v>575</v>
      </c>
      <c r="B38" s="113"/>
      <c r="C38" s="113"/>
      <c r="D38" s="29" t="s">
        <v>576</v>
      </c>
      <c r="E38" s="30">
        <v>29</v>
      </c>
    </row>
  </sheetData>
  <mergeCells count="8">
    <mergeCell ref="A1:K1"/>
    <mergeCell ref="A17:K17"/>
    <mergeCell ref="A31:K31"/>
    <mergeCell ref="L3:M3"/>
    <mergeCell ref="A4:K4"/>
    <mergeCell ref="A25:K25"/>
    <mergeCell ref="A2:K2"/>
    <mergeCell ref="A38:C3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6"/>
  <sheetViews>
    <sheetView zoomScale="130" zoomScaleNormal="130" workbookViewId="0">
      <pane ySplit="3" topLeftCell="A4" activePane="bottomLeft" state="frozen"/>
      <selection pane="bottomLeft" activeCell="G48" sqref="G48"/>
    </sheetView>
  </sheetViews>
  <sheetFormatPr baseColWidth="10" defaultColWidth="8.83203125" defaultRowHeight="15" x14ac:dyDescent="0.2"/>
  <cols>
    <col min="1" max="1" width="4" customWidth="1"/>
    <col min="2" max="2" width="40" customWidth="1"/>
    <col min="3" max="3" width="18" customWidth="1"/>
    <col min="4" max="4" width="24.1640625" customWidth="1"/>
    <col min="5" max="5" width="22.33203125" customWidth="1"/>
    <col min="6" max="9" width="16" customWidth="1"/>
    <col min="10" max="10" width="29.1640625" customWidth="1"/>
    <col min="11" max="11" width="15" customWidth="1"/>
    <col min="12" max="12" width="37.1640625" bestFit="1" customWidth="1"/>
  </cols>
  <sheetData>
    <row r="1" spans="1:12" ht="30" customHeight="1" x14ac:dyDescent="0.2">
      <c r="A1" s="116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2" ht="18" customHeight="1" x14ac:dyDescent="0.2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2" ht="22" customHeight="1" x14ac:dyDescent="0.2">
      <c r="A3" s="54" t="s">
        <v>2</v>
      </c>
      <c r="B3" s="54" t="s">
        <v>3</v>
      </c>
      <c r="C3" s="54" t="s">
        <v>4</v>
      </c>
      <c r="D3" s="54" t="s">
        <v>5</v>
      </c>
      <c r="E3" s="54" t="s">
        <v>6</v>
      </c>
      <c r="F3" s="54" t="s">
        <v>7</v>
      </c>
      <c r="G3" s="54" t="s">
        <v>8</v>
      </c>
      <c r="H3" s="54" t="s">
        <v>9</v>
      </c>
      <c r="I3" s="54" t="s">
        <v>10</v>
      </c>
      <c r="J3" s="54" t="s">
        <v>11</v>
      </c>
      <c r="K3" s="54" t="s">
        <v>12</v>
      </c>
      <c r="L3" s="83" t="s">
        <v>13</v>
      </c>
    </row>
    <row r="4" spans="1:12" ht="16" customHeight="1" x14ac:dyDescent="0.2">
      <c r="A4" s="109" t="s">
        <v>14</v>
      </c>
      <c r="B4" s="107"/>
      <c r="C4" s="107"/>
      <c r="D4" s="107"/>
      <c r="E4" s="107"/>
      <c r="F4" s="107"/>
      <c r="G4" s="107"/>
      <c r="H4" s="107"/>
      <c r="I4" s="107"/>
      <c r="J4" s="107"/>
      <c r="K4" s="108"/>
    </row>
    <row r="5" spans="1:12" x14ac:dyDescent="0.2">
      <c r="A5" s="75">
        <v>116</v>
      </c>
      <c r="B5" s="76" t="s">
        <v>15</v>
      </c>
      <c r="C5" s="75" t="s">
        <v>16</v>
      </c>
      <c r="D5" s="77" t="s">
        <v>17</v>
      </c>
      <c r="E5" s="76" t="s">
        <v>18</v>
      </c>
      <c r="F5" s="76" t="s">
        <v>19</v>
      </c>
      <c r="G5" s="78" t="s">
        <v>20</v>
      </c>
      <c r="H5" s="79" t="s">
        <v>21</v>
      </c>
      <c r="I5" s="79" t="s">
        <v>22</v>
      </c>
      <c r="J5" s="80" t="s">
        <v>23</v>
      </c>
      <c r="K5" s="75"/>
    </row>
    <row r="6" spans="1:12" ht="28" customHeight="1" x14ac:dyDescent="0.2">
      <c r="A6" s="55">
        <v>117</v>
      </c>
      <c r="B6" s="56" t="s">
        <v>24</v>
      </c>
      <c r="C6" s="55" t="s">
        <v>25</v>
      </c>
      <c r="D6" s="46" t="s">
        <v>17</v>
      </c>
      <c r="E6" s="56" t="s">
        <v>26</v>
      </c>
      <c r="F6" s="56" t="s">
        <v>19</v>
      </c>
      <c r="G6" s="47" t="s">
        <v>20</v>
      </c>
      <c r="H6" s="81" t="s">
        <v>21</v>
      </c>
      <c r="I6" s="81" t="s">
        <v>22</v>
      </c>
      <c r="J6" s="82" t="s">
        <v>27</v>
      </c>
      <c r="K6" s="55"/>
    </row>
    <row r="7" spans="1:12" ht="56" customHeight="1" x14ac:dyDescent="0.2">
      <c r="A7" s="44">
        <v>118</v>
      </c>
      <c r="B7" s="45" t="s">
        <v>28</v>
      </c>
      <c r="C7" s="44" t="s">
        <v>29</v>
      </c>
      <c r="D7" s="46" t="s">
        <v>17</v>
      </c>
      <c r="E7" s="45" t="s">
        <v>30</v>
      </c>
      <c r="F7" s="45" t="s">
        <v>19</v>
      </c>
      <c r="G7" s="47" t="s">
        <v>20</v>
      </c>
      <c r="H7" s="73" t="s">
        <v>21</v>
      </c>
      <c r="I7" s="73" t="s">
        <v>22</v>
      </c>
      <c r="J7" s="74" t="s">
        <v>31</v>
      </c>
      <c r="K7" s="44"/>
    </row>
    <row r="8" spans="1:12" ht="28" customHeight="1" x14ac:dyDescent="0.2">
      <c r="A8" s="55">
        <v>119</v>
      </c>
      <c r="B8" s="56" t="s">
        <v>32</v>
      </c>
      <c r="C8" s="55" t="s">
        <v>33</v>
      </c>
      <c r="D8" s="46" t="s">
        <v>17</v>
      </c>
      <c r="E8" s="56" t="s">
        <v>18</v>
      </c>
      <c r="F8" s="56" t="s">
        <v>19</v>
      </c>
      <c r="G8" s="47" t="s">
        <v>20</v>
      </c>
      <c r="H8" s="81" t="s">
        <v>21</v>
      </c>
      <c r="I8" s="81" t="s">
        <v>22</v>
      </c>
      <c r="J8" s="82" t="s">
        <v>34</v>
      </c>
      <c r="K8" s="55"/>
    </row>
    <row r="9" spans="1:12" x14ac:dyDescent="0.2">
      <c r="A9" s="44">
        <v>120</v>
      </c>
      <c r="B9" s="45" t="s">
        <v>35</v>
      </c>
      <c r="C9" s="44" t="s">
        <v>36</v>
      </c>
      <c r="D9" s="46" t="s">
        <v>17</v>
      </c>
      <c r="E9" s="45" t="s">
        <v>37</v>
      </c>
      <c r="F9" s="45" t="s">
        <v>38</v>
      </c>
      <c r="G9" s="47" t="s">
        <v>20</v>
      </c>
      <c r="H9" s="44"/>
      <c r="I9" s="44"/>
      <c r="J9" s="45"/>
      <c r="K9" s="44"/>
    </row>
    <row r="10" spans="1:12" x14ac:dyDescent="0.2">
      <c r="A10" s="55">
        <v>121</v>
      </c>
      <c r="B10" s="56" t="s">
        <v>39</v>
      </c>
      <c r="C10" s="55" t="s">
        <v>40</v>
      </c>
      <c r="D10" s="46" t="s">
        <v>17</v>
      </c>
      <c r="E10" s="56" t="s">
        <v>41</v>
      </c>
      <c r="F10" s="56" t="s">
        <v>38</v>
      </c>
      <c r="G10" s="47" t="s">
        <v>20</v>
      </c>
      <c r="H10" s="55"/>
      <c r="I10" s="55"/>
      <c r="J10" s="56"/>
      <c r="K10" s="55"/>
    </row>
    <row r="11" spans="1:12" x14ac:dyDescent="0.2">
      <c r="A11" s="44">
        <v>122</v>
      </c>
      <c r="B11" s="45" t="s">
        <v>42</v>
      </c>
      <c r="C11" s="44" t="s">
        <v>43</v>
      </c>
      <c r="D11" s="46" t="s">
        <v>17</v>
      </c>
      <c r="E11" s="45" t="s">
        <v>18</v>
      </c>
      <c r="F11" s="45" t="s">
        <v>38</v>
      </c>
      <c r="G11" s="47" t="s">
        <v>20</v>
      </c>
      <c r="H11" s="44"/>
      <c r="I11" s="44"/>
      <c r="J11" s="45"/>
      <c r="K11" s="44"/>
    </row>
    <row r="12" spans="1:12" x14ac:dyDescent="0.2">
      <c r="A12" s="55">
        <v>123</v>
      </c>
      <c r="B12" s="56" t="s">
        <v>44</v>
      </c>
      <c r="C12" s="55" t="s">
        <v>45</v>
      </c>
      <c r="D12" s="46" t="s">
        <v>17</v>
      </c>
      <c r="E12" s="56" t="s">
        <v>46</v>
      </c>
      <c r="F12" s="56" t="s">
        <v>38</v>
      </c>
      <c r="G12" s="47" t="s">
        <v>20</v>
      </c>
      <c r="H12" s="55"/>
      <c r="I12" s="55"/>
      <c r="J12" s="56"/>
      <c r="K12" s="55"/>
    </row>
    <row r="13" spans="1:12" x14ac:dyDescent="0.2">
      <c r="A13" s="44">
        <v>124</v>
      </c>
      <c r="B13" s="45" t="s">
        <v>47</v>
      </c>
      <c r="C13" s="44" t="s">
        <v>48</v>
      </c>
      <c r="D13" s="46" t="s">
        <v>17</v>
      </c>
      <c r="E13" s="45" t="s">
        <v>49</v>
      </c>
      <c r="F13" s="45" t="s">
        <v>38</v>
      </c>
      <c r="G13" s="47" t="s">
        <v>20</v>
      </c>
      <c r="H13" s="44"/>
      <c r="I13" s="44"/>
      <c r="J13" s="45"/>
      <c r="K13" s="44"/>
    </row>
    <row r="14" spans="1:12" ht="28" customHeight="1" x14ac:dyDescent="0.2">
      <c r="A14" s="55">
        <v>125</v>
      </c>
      <c r="B14" s="56" t="s">
        <v>50</v>
      </c>
      <c r="C14" s="55" t="s">
        <v>51</v>
      </c>
      <c r="D14" s="46" t="s">
        <v>17</v>
      </c>
      <c r="E14" s="56" t="s">
        <v>18</v>
      </c>
      <c r="F14" s="56" t="s">
        <v>52</v>
      </c>
      <c r="G14" s="47" t="s">
        <v>20</v>
      </c>
      <c r="H14" s="55"/>
      <c r="I14" s="55"/>
      <c r="J14" s="56"/>
      <c r="K14" s="55"/>
    </row>
    <row r="15" spans="1:12" ht="16" customHeight="1" x14ac:dyDescent="0.2">
      <c r="A15" s="110" t="s">
        <v>53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8"/>
    </row>
    <row r="16" spans="1:12" ht="18" customHeight="1" x14ac:dyDescent="0.2">
      <c r="A16" s="44">
        <v>126</v>
      </c>
      <c r="B16" s="45" t="s">
        <v>54</v>
      </c>
      <c r="C16" s="44" t="s">
        <v>55</v>
      </c>
      <c r="D16" s="46" t="s">
        <v>17</v>
      </c>
      <c r="E16" s="45" t="s">
        <v>56</v>
      </c>
      <c r="F16" s="45" t="s">
        <v>57</v>
      </c>
      <c r="G16" s="47" t="s">
        <v>20</v>
      </c>
      <c r="H16" s="44"/>
      <c r="I16" s="44"/>
      <c r="J16" s="45"/>
      <c r="K16" s="44"/>
    </row>
    <row r="17" spans="1:11" ht="18" customHeight="1" x14ac:dyDescent="0.2">
      <c r="A17" s="57">
        <v>127</v>
      </c>
      <c r="B17" s="58" t="s">
        <v>58</v>
      </c>
      <c r="C17" s="57" t="s">
        <v>59</v>
      </c>
      <c r="D17" s="46" t="s">
        <v>17</v>
      </c>
      <c r="E17" s="58" t="s">
        <v>60</v>
      </c>
      <c r="F17" s="58" t="s">
        <v>61</v>
      </c>
      <c r="G17" s="47" t="s">
        <v>20</v>
      </c>
      <c r="H17" s="57"/>
      <c r="I17" s="57"/>
      <c r="J17" s="58"/>
      <c r="K17" s="57"/>
    </row>
    <row r="18" spans="1:11" ht="18" customHeight="1" x14ac:dyDescent="0.2">
      <c r="A18" s="44">
        <v>128</v>
      </c>
      <c r="B18" s="45" t="s">
        <v>62</v>
      </c>
      <c r="C18" s="44" t="s">
        <v>63</v>
      </c>
      <c r="D18" s="46" t="s">
        <v>17</v>
      </c>
      <c r="E18" s="45" t="s">
        <v>64</v>
      </c>
      <c r="F18" s="45" t="s">
        <v>57</v>
      </c>
      <c r="G18" s="47" t="s">
        <v>20</v>
      </c>
      <c r="H18" s="44"/>
      <c r="I18" s="44"/>
      <c r="J18" s="45"/>
      <c r="K18" s="44"/>
    </row>
    <row r="19" spans="1:11" ht="18" customHeight="1" x14ac:dyDescent="0.2">
      <c r="A19" s="57">
        <v>129</v>
      </c>
      <c r="B19" s="58" t="s">
        <v>65</v>
      </c>
      <c r="C19" s="57" t="s">
        <v>66</v>
      </c>
      <c r="D19" s="46" t="s">
        <v>17</v>
      </c>
      <c r="E19" s="58" t="s">
        <v>18</v>
      </c>
      <c r="F19" s="58" t="s">
        <v>57</v>
      </c>
      <c r="G19" s="47" t="s">
        <v>20</v>
      </c>
      <c r="H19" s="57"/>
      <c r="I19" s="57"/>
      <c r="J19" s="58"/>
      <c r="K19" s="57"/>
    </row>
    <row r="20" spans="1:11" ht="18" customHeight="1" x14ac:dyDescent="0.2">
      <c r="A20" s="44">
        <v>130</v>
      </c>
      <c r="B20" s="45" t="s">
        <v>67</v>
      </c>
      <c r="C20" s="44" t="s">
        <v>68</v>
      </c>
      <c r="D20" s="46" t="s">
        <v>17</v>
      </c>
      <c r="E20" s="45" t="s">
        <v>69</v>
      </c>
      <c r="F20" s="45" t="s">
        <v>57</v>
      </c>
      <c r="G20" s="47" t="s">
        <v>20</v>
      </c>
      <c r="H20" s="44"/>
      <c r="I20" s="44"/>
      <c r="J20" s="45"/>
      <c r="K20" s="44"/>
    </row>
    <row r="21" spans="1:11" ht="18" customHeight="1" x14ac:dyDescent="0.2">
      <c r="A21" s="57">
        <v>131</v>
      </c>
      <c r="B21" s="58" t="s">
        <v>70</v>
      </c>
      <c r="C21" s="57" t="s">
        <v>71</v>
      </c>
      <c r="D21" s="46" t="s">
        <v>17</v>
      </c>
      <c r="E21" s="58" t="s">
        <v>72</v>
      </c>
      <c r="F21" s="58" t="s">
        <v>73</v>
      </c>
      <c r="G21" s="47" t="s">
        <v>20</v>
      </c>
      <c r="H21" s="57"/>
      <c r="I21" s="57"/>
      <c r="J21" s="58"/>
      <c r="K21" s="57"/>
    </row>
    <row r="22" spans="1:11" ht="18" customHeight="1" x14ac:dyDescent="0.2">
      <c r="A22" s="44">
        <v>132</v>
      </c>
      <c r="B22" s="45" t="s">
        <v>74</v>
      </c>
      <c r="C22" s="44" t="s">
        <v>75</v>
      </c>
      <c r="D22" s="46" t="s">
        <v>17</v>
      </c>
      <c r="E22" s="45" t="s">
        <v>76</v>
      </c>
      <c r="F22" s="45" t="s">
        <v>57</v>
      </c>
      <c r="G22" s="47" t="s">
        <v>20</v>
      </c>
      <c r="H22" s="44"/>
      <c r="I22" s="44"/>
      <c r="J22" s="45"/>
      <c r="K22" s="44"/>
    </row>
    <row r="23" spans="1:11" ht="16" customHeight="1" x14ac:dyDescent="0.2">
      <c r="A23" s="117" t="s">
        <v>77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8"/>
    </row>
    <row r="24" spans="1:11" ht="18" customHeight="1" x14ac:dyDescent="0.2">
      <c r="A24" s="44">
        <v>133</v>
      </c>
      <c r="B24" s="45" t="s">
        <v>78</v>
      </c>
      <c r="C24" s="44" t="s">
        <v>79</v>
      </c>
      <c r="D24" s="46" t="s">
        <v>17</v>
      </c>
      <c r="E24" s="45" t="s">
        <v>80</v>
      </c>
      <c r="F24" s="45" t="s">
        <v>81</v>
      </c>
      <c r="G24" s="47" t="s">
        <v>20</v>
      </c>
      <c r="H24" s="44"/>
      <c r="I24" s="44"/>
      <c r="J24" s="45"/>
      <c r="K24" s="44"/>
    </row>
    <row r="25" spans="1:11" ht="18" customHeight="1" x14ac:dyDescent="0.2">
      <c r="A25" s="59">
        <v>134</v>
      </c>
      <c r="B25" s="60" t="s">
        <v>82</v>
      </c>
      <c r="C25" s="59" t="s">
        <v>83</v>
      </c>
      <c r="D25" s="46" t="s">
        <v>17</v>
      </c>
      <c r="E25" s="60" t="s">
        <v>84</v>
      </c>
      <c r="F25" s="60" t="s">
        <v>85</v>
      </c>
      <c r="G25" s="47" t="s">
        <v>20</v>
      </c>
      <c r="H25" s="59"/>
      <c r="I25" s="59"/>
      <c r="J25" s="60"/>
      <c r="K25" s="59"/>
    </row>
    <row r="26" spans="1:11" ht="18" customHeight="1" x14ac:dyDescent="0.2">
      <c r="A26" s="44">
        <v>135</v>
      </c>
      <c r="B26" s="45" t="s">
        <v>86</v>
      </c>
      <c r="C26" s="44" t="s">
        <v>87</v>
      </c>
      <c r="D26" s="46" t="s">
        <v>17</v>
      </c>
      <c r="E26" s="45" t="s">
        <v>88</v>
      </c>
      <c r="F26" s="45" t="s">
        <v>81</v>
      </c>
      <c r="G26" s="47" t="s">
        <v>20</v>
      </c>
      <c r="H26" s="44"/>
      <c r="I26" s="44"/>
      <c r="J26" s="45"/>
      <c r="K26" s="44"/>
    </row>
    <row r="27" spans="1:11" ht="18" customHeight="1" x14ac:dyDescent="0.2">
      <c r="A27" s="59">
        <v>136</v>
      </c>
      <c r="B27" s="60" t="s">
        <v>89</v>
      </c>
      <c r="C27" s="59" t="s">
        <v>90</v>
      </c>
      <c r="D27" s="46" t="s">
        <v>17</v>
      </c>
      <c r="E27" s="60" t="s">
        <v>91</v>
      </c>
      <c r="F27" s="60" t="s">
        <v>85</v>
      </c>
      <c r="G27" s="53" t="s">
        <v>92</v>
      </c>
      <c r="H27" s="59"/>
      <c r="I27" s="59"/>
      <c r="J27" s="60"/>
      <c r="K27" s="59"/>
    </row>
    <row r="28" spans="1:11" ht="18" customHeight="1" x14ac:dyDescent="0.2">
      <c r="A28" s="44">
        <v>137</v>
      </c>
      <c r="B28" s="45" t="s">
        <v>93</v>
      </c>
      <c r="C28" s="44" t="s">
        <v>94</v>
      </c>
      <c r="D28" s="46" t="s">
        <v>17</v>
      </c>
      <c r="E28" s="45" t="s">
        <v>95</v>
      </c>
      <c r="F28" s="45" t="s">
        <v>85</v>
      </c>
      <c r="G28" s="47" t="s">
        <v>20</v>
      </c>
      <c r="H28" s="44"/>
      <c r="I28" s="44"/>
      <c r="J28" s="45"/>
      <c r="K28" s="44"/>
    </row>
    <row r="29" spans="1:11" ht="16" customHeight="1" x14ac:dyDescent="0.2">
      <c r="A29" s="109" t="s">
        <v>96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8"/>
    </row>
    <row r="30" spans="1:11" ht="18" customHeight="1" x14ac:dyDescent="0.2">
      <c r="A30" s="44">
        <v>138</v>
      </c>
      <c r="B30" s="45" t="s">
        <v>97</v>
      </c>
      <c r="C30" s="44" t="s">
        <v>98</v>
      </c>
      <c r="D30" s="46" t="s">
        <v>17</v>
      </c>
      <c r="E30" s="45" t="s">
        <v>99</v>
      </c>
      <c r="F30" s="45" t="s">
        <v>100</v>
      </c>
      <c r="G30" s="47" t="s">
        <v>20</v>
      </c>
      <c r="H30" s="44"/>
      <c r="I30" s="44"/>
      <c r="J30" s="45"/>
      <c r="K30" s="44"/>
    </row>
    <row r="31" spans="1:11" ht="18" customHeight="1" x14ac:dyDescent="0.2">
      <c r="A31" s="61">
        <v>139</v>
      </c>
      <c r="B31" s="62" t="s">
        <v>101</v>
      </c>
      <c r="C31" s="61" t="s">
        <v>102</v>
      </c>
      <c r="D31" s="46" t="s">
        <v>17</v>
      </c>
      <c r="E31" s="62" t="s">
        <v>103</v>
      </c>
      <c r="F31" s="62" t="s">
        <v>104</v>
      </c>
      <c r="G31" s="47" t="s">
        <v>20</v>
      </c>
      <c r="H31" s="61"/>
      <c r="I31" s="61"/>
      <c r="J31" s="62"/>
      <c r="K31" s="61"/>
    </row>
    <row r="32" spans="1:11" ht="18" customHeight="1" x14ac:dyDescent="0.2">
      <c r="A32" s="44">
        <v>140</v>
      </c>
      <c r="B32" s="45" t="s">
        <v>105</v>
      </c>
      <c r="C32" s="44" t="s">
        <v>106</v>
      </c>
      <c r="D32" s="46" t="s">
        <v>17</v>
      </c>
      <c r="E32" s="45" t="s">
        <v>41</v>
      </c>
      <c r="F32" s="45" t="s">
        <v>104</v>
      </c>
      <c r="G32" s="47" t="s">
        <v>20</v>
      </c>
      <c r="H32" s="44"/>
      <c r="I32" s="44"/>
      <c r="J32" s="45"/>
      <c r="K32" s="44"/>
    </row>
    <row r="33" spans="1:12" ht="18" customHeight="1" x14ac:dyDescent="0.2">
      <c r="A33" s="61">
        <v>141</v>
      </c>
      <c r="B33" s="62" t="s">
        <v>107</v>
      </c>
      <c r="C33" s="61" t="s">
        <v>108</v>
      </c>
      <c r="D33" s="46" t="s">
        <v>17</v>
      </c>
      <c r="E33" s="62" t="s">
        <v>109</v>
      </c>
      <c r="F33" s="62" t="s">
        <v>100</v>
      </c>
      <c r="G33" s="53" t="s">
        <v>92</v>
      </c>
      <c r="H33" s="61"/>
      <c r="I33" s="61"/>
      <c r="J33" s="62"/>
      <c r="K33" s="61"/>
    </row>
    <row r="34" spans="1:12" ht="16" customHeight="1" x14ac:dyDescent="0.2">
      <c r="A34" s="106" t="s">
        <v>110</v>
      </c>
      <c r="B34" s="107"/>
      <c r="C34" s="107"/>
      <c r="D34" s="107"/>
      <c r="E34" s="107"/>
      <c r="F34" s="107"/>
      <c r="G34" s="107"/>
      <c r="H34" s="107"/>
      <c r="I34" s="107"/>
      <c r="J34" s="107"/>
      <c r="K34" s="108"/>
    </row>
    <row r="35" spans="1:12" ht="18" customHeight="1" x14ac:dyDescent="0.2">
      <c r="A35" s="44">
        <v>142</v>
      </c>
      <c r="B35" s="45" t="s">
        <v>111</v>
      </c>
      <c r="C35" s="44" t="s">
        <v>112</v>
      </c>
      <c r="D35" s="46" t="s">
        <v>17</v>
      </c>
      <c r="E35" s="45" t="s">
        <v>91</v>
      </c>
      <c r="F35" s="45" t="s">
        <v>113</v>
      </c>
      <c r="G35" s="47" t="s">
        <v>20</v>
      </c>
      <c r="H35" s="44"/>
      <c r="I35" s="44"/>
      <c r="J35" s="45"/>
      <c r="K35" s="44"/>
    </row>
    <row r="36" spans="1:12" ht="18" customHeight="1" x14ac:dyDescent="0.2">
      <c r="A36" s="49">
        <v>143</v>
      </c>
      <c r="B36" s="50" t="s">
        <v>114</v>
      </c>
      <c r="C36" s="49" t="s">
        <v>115</v>
      </c>
      <c r="D36" s="46" t="s">
        <v>17</v>
      </c>
      <c r="E36" s="50" t="s">
        <v>116</v>
      </c>
      <c r="F36" s="50" t="s">
        <v>113</v>
      </c>
      <c r="G36" s="47" t="s">
        <v>20</v>
      </c>
      <c r="H36" s="49"/>
      <c r="I36" s="49"/>
      <c r="J36" s="50"/>
      <c r="K36" s="49"/>
    </row>
    <row r="37" spans="1:12" ht="18" customHeight="1" x14ac:dyDescent="0.2">
      <c r="A37" s="44">
        <v>144</v>
      </c>
      <c r="B37" s="45" t="s">
        <v>117</v>
      </c>
      <c r="C37" s="44" t="s">
        <v>118</v>
      </c>
      <c r="D37" s="46" t="s">
        <v>17</v>
      </c>
      <c r="E37" s="45" t="s">
        <v>76</v>
      </c>
      <c r="F37" s="45" t="s">
        <v>119</v>
      </c>
      <c r="G37" s="47" t="s">
        <v>20</v>
      </c>
      <c r="H37" s="44"/>
      <c r="I37" s="44"/>
      <c r="J37" s="45"/>
      <c r="K37" s="44"/>
    </row>
    <row r="38" spans="1:12" ht="18" customHeight="1" x14ac:dyDescent="0.2">
      <c r="A38" s="49">
        <v>145</v>
      </c>
      <c r="B38" s="50" t="s">
        <v>120</v>
      </c>
      <c r="C38" s="49" t="s">
        <v>121</v>
      </c>
      <c r="D38" s="46" t="s">
        <v>17</v>
      </c>
      <c r="E38" s="50" t="s">
        <v>122</v>
      </c>
      <c r="F38" s="50" t="s">
        <v>119</v>
      </c>
      <c r="G38" s="47" t="s">
        <v>20</v>
      </c>
      <c r="H38" s="49"/>
      <c r="I38" s="49"/>
      <c r="J38" s="50"/>
      <c r="K38" s="49"/>
    </row>
    <row r="39" spans="1:12" ht="18" customHeight="1" x14ac:dyDescent="0.2">
      <c r="A39" s="44">
        <v>146</v>
      </c>
      <c r="B39" s="45" t="s">
        <v>123</v>
      </c>
      <c r="C39" s="44" t="s">
        <v>124</v>
      </c>
      <c r="D39" s="46" t="s">
        <v>17</v>
      </c>
      <c r="E39" s="45" t="s">
        <v>125</v>
      </c>
      <c r="F39" s="45" t="s">
        <v>126</v>
      </c>
      <c r="G39" s="47" t="s">
        <v>20</v>
      </c>
      <c r="H39" s="44"/>
      <c r="I39" s="44"/>
      <c r="J39" s="45"/>
      <c r="K39" s="44"/>
    </row>
    <row r="40" spans="1:12" ht="18" customHeight="1" x14ac:dyDescent="0.2">
      <c r="A40" s="49">
        <v>147</v>
      </c>
      <c r="B40" s="50" t="s">
        <v>127</v>
      </c>
      <c r="C40" s="49" t="s">
        <v>128</v>
      </c>
      <c r="D40" s="46" t="s">
        <v>17</v>
      </c>
      <c r="E40" s="50" t="s">
        <v>18</v>
      </c>
      <c r="F40" s="50" t="s">
        <v>113</v>
      </c>
      <c r="G40" s="53" t="s">
        <v>92</v>
      </c>
      <c r="H40" s="49"/>
      <c r="I40" s="49"/>
      <c r="J40" s="50"/>
      <c r="K40" s="49"/>
    </row>
    <row r="41" spans="1:12" ht="16" customHeight="1" x14ac:dyDescent="0.2">
      <c r="A41" s="111" t="s">
        <v>129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8"/>
    </row>
    <row r="42" spans="1:12" ht="18" customHeight="1" x14ac:dyDescent="0.2">
      <c r="A42" s="44">
        <v>148</v>
      </c>
      <c r="B42" s="45" t="s">
        <v>130</v>
      </c>
      <c r="C42" s="44" t="s">
        <v>131</v>
      </c>
      <c r="D42" s="46" t="s">
        <v>17</v>
      </c>
      <c r="E42" s="45" t="s">
        <v>132</v>
      </c>
      <c r="F42" s="45" t="s">
        <v>133</v>
      </c>
      <c r="G42" s="47" t="s">
        <v>20</v>
      </c>
      <c r="H42" s="44"/>
      <c r="I42" s="44"/>
      <c r="J42" s="45"/>
      <c r="K42" s="44"/>
    </row>
    <row r="43" spans="1:12" ht="18" customHeight="1" x14ac:dyDescent="0.2">
      <c r="A43" s="63">
        <v>149</v>
      </c>
      <c r="B43" s="64" t="s">
        <v>134</v>
      </c>
      <c r="C43" s="63" t="s">
        <v>135</v>
      </c>
      <c r="D43" s="46" t="s">
        <v>17</v>
      </c>
      <c r="E43" s="64" t="s">
        <v>125</v>
      </c>
      <c r="F43" s="64" t="s">
        <v>136</v>
      </c>
      <c r="G43" s="47" t="s">
        <v>20</v>
      </c>
      <c r="H43" s="63"/>
      <c r="I43" s="63"/>
      <c r="J43" s="64"/>
      <c r="K43" s="63"/>
    </row>
    <row r="44" spans="1:12" ht="18" customHeight="1" x14ac:dyDescent="0.2">
      <c r="A44" s="44">
        <v>150</v>
      </c>
      <c r="B44" s="45" t="s">
        <v>137</v>
      </c>
      <c r="C44" s="44" t="s">
        <v>138</v>
      </c>
      <c r="D44" s="46" t="s">
        <v>17</v>
      </c>
      <c r="E44" s="45" t="s">
        <v>18</v>
      </c>
      <c r="F44" s="45" t="s">
        <v>133</v>
      </c>
      <c r="G44" s="47" t="s">
        <v>20</v>
      </c>
      <c r="H44" s="44"/>
      <c r="I44" s="44"/>
      <c r="J44" s="45"/>
      <c r="K44" s="44"/>
    </row>
    <row r="45" spans="1:12" ht="18" customHeight="1" x14ac:dyDescent="0.2">
      <c r="A45" s="63">
        <v>151</v>
      </c>
      <c r="B45" s="64" t="s">
        <v>139</v>
      </c>
      <c r="C45" s="63" t="s">
        <v>140</v>
      </c>
      <c r="D45" s="46" t="s">
        <v>17</v>
      </c>
      <c r="E45" s="64" t="s">
        <v>46</v>
      </c>
      <c r="F45" s="64" t="s">
        <v>136</v>
      </c>
      <c r="G45" s="47" t="s">
        <v>20</v>
      </c>
      <c r="H45" s="63"/>
      <c r="I45" s="63"/>
      <c r="J45" s="64"/>
      <c r="K45" s="63"/>
    </row>
    <row r="46" spans="1:12" ht="16" customHeight="1" x14ac:dyDescent="0.2">
      <c r="A46" s="115" t="s">
        <v>141</v>
      </c>
      <c r="B46" s="107"/>
      <c r="C46" s="107"/>
      <c r="D46" s="107"/>
      <c r="E46" s="107"/>
      <c r="F46" s="107"/>
      <c r="G46" s="107"/>
      <c r="H46" s="107"/>
      <c r="I46" s="107"/>
      <c r="J46" s="107"/>
      <c r="K46" s="108"/>
    </row>
    <row r="47" spans="1:12" ht="28" customHeight="1" x14ac:dyDescent="0.2">
      <c r="A47" s="44">
        <v>152</v>
      </c>
      <c r="B47" s="45" t="s">
        <v>142</v>
      </c>
      <c r="C47" s="44" t="s">
        <v>143</v>
      </c>
      <c r="D47" s="46" t="s">
        <v>17</v>
      </c>
      <c r="E47" s="45" t="s">
        <v>144</v>
      </c>
      <c r="F47" s="45" t="s">
        <v>145</v>
      </c>
      <c r="G47" s="47" t="s">
        <v>20</v>
      </c>
      <c r="H47" s="44"/>
      <c r="I47" s="44"/>
      <c r="J47" s="45"/>
      <c r="K47" s="44"/>
      <c r="L47" t="s">
        <v>146</v>
      </c>
    </row>
    <row r="48" spans="1:12" ht="18" customHeight="1" x14ac:dyDescent="0.2">
      <c r="A48" s="65">
        <v>153</v>
      </c>
      <c r="B48" s="66" t="s">
        <v>147</v>
      </c>
      <c r="C48" s="65" t="s">
        <v>148</v>
      </c>
      <c r="D48" s="46" t="s">
        <v>17</v>
      </c>
      <c r="E48" s="66" t="s">
        <v>149</v>
      </c>
      <c r="F48" s="66" t="s">
        <v>150</v>
      </c>
      <c r="G48" s="47" t="s">
        <v>20</v>
      </c>
      <c r="H48" s="65"/>
      <c r="I48" s="65"/>
      <c r="J48" s="66"/>
      <c r="K48" s="65"/>
    </row>
    <row r="49" spans="1:11" ht="18" customHeight="1" x14ac:dyDescent="0.2">
      <c r="A49" s="44">
        <v>154</v>
      </c>
      <c r="B49" s="45" t="s">
        <v>151</v>
      </c>
      <c r="C49" s="44" t="s">
        <v>152</v>
      </c>
      <c r="D49" s="46" t="s">
        <v>17</v>
      </c>
      <c r="E49" s="45" t="s">
        <v>153</v>
      </c>
      <c r="F49" s="45" t="s">
        <v>154</v>
      </c>
      <c r="G49" s="47" t="s">
        <v>20</v>
      </c>
      <c r="H49" s="44"/>
      <c r="I49" s="44"/>
      <c r="J49" s="45"/>
      <c r="K49" s="44"/>
    </row>
    <row r="50" spans="1:11" ht="18" customHeight="1" x14ac:dyDescent="0.2">
      <c r="A50" s="65">
        <v>155</v>
      </c>
      <c r="B50" s="66" t="s">
        <v>155</v>
      </c>
      <c r="C50" s="65" t="s">
        <v>156</v>
      </c>
      <c r="D50" s="46" t="s">
        <v>17</v>
      </c>
      <c r="E50" s="66" t="s">
        <v>153</v>
      </c>
      <c r="F50" s="66" t="s">
        <v>157</v>
      </c>
      <c r="G50" s="47" t="s">
        <v>20</v>
      </c>
      <c r="H50" s="65"/>
      <c r="I50" s="65"/>
      <c r="J50" s="66"/>
      <c r="K50" s="65"/>
    </row>
    <row r="51" spans="1:11" ht="18" customHeight="1" x14ac:dyDescent="0.2">
      <c r="A51" s="44">
        <v>156</v>
      </c>
      <c r="B51" s="45" t="s">
        <v>158</v>
      </c>
      <c r="C51" s="44" t="s">
        <v>159</v>
      </c>
      <c r="D51" s="46" t="s">
        <v>17</v>
      </c>
      <c r="E51" s="45" t="s">
        <v>153</v>
      </c>
      <c r="F51" s="45" t="s">
        <v>160</v>
      </c>
      <c r="G51" s="47" t="s">
        <v>20</v>
      </c>
      <c r="H51" s="44"/>
      <c r="I51" s="44"/>
      <c r="J51" s="45"/>
      <c r="K51" s="44"/>
    </row>
    <row r="52" spans="1:11" ht="18" customHeight="1" x14ac:dyDescent="0.2">
      <c r="A52" s="65">
        <v>157</v>
      </c>
      <c r="B52" s="66" t="s">
        <v>161</v>
      </c>
      <c r="C52" s="65" t="s">
        <v>162</v>
      </c>
      <c r="D52" s="46" t="s">
        <v>17</v>
      </c>
      <c r="E52" s="66" t="s">
        <v>76</v>
      </c>
      <c r="F52" s="66" t="s">
        <v>154</v>
      </c>
      <c r="G52" s="47" t="s">
        <v>20</v>
      </c>
      <c r="H52" s="65"/>
      <c r="I52" s="65"/>
      <c r="J52" s="66"/>
      <c r="K52" s="65"/>
    </row>
    <row r="53" spans="1:11" ht="18" customHeight="1" x14ac:dyDescent="0.2">
      <c r="A53" s="44">
        <v>158</v>
      </c>
      <c r="B53" s="45" t="s">
        <v>163</v>
      </c>
      <c r="C53" s="44" t="s">
        <v>164</v>
      </c>
      <c r="D53" s="46" t="s">
        <v>17</v>
      </c>
      <c r="E53" s="45" t="s">
        <v>165</v>
      </c>
      <c r="F53" s="45" t="s">
        <v>166</v>
      </c>
      <c r="G53" s="47" t="s">
        <v>20</v>
      </c>
      <c r="H53" s="44"/>
      <c r="I53" s="44"/>
      <c r="J53" s="45"/>
      <c r="K53" s="44"/>
    </row>
    <row r="54" spans="1:11" ht="18" customHeight="1" x14ac:dyDescent="0.2">
      <c r="A54" s="65">
        <v>159</v>
      </c>
      <c r="B54" s="66" t="s">
        <v>167</v>
      </c>
      <c r="C54" s="65" t="s">
        <v>168</v>
      </c>
      <c r="D54" s="46" t="s">
        <v>17</v>
      </c>
      <c r="E54" s="66" t="s">
        <v>18</v>
      </c>
      <c r="F54" s="66" t="s">
        <v>169</v>
      </c>
      <c r="G54" s="47" t="s">
        <v>20</v>
      </c>
      <c r="H54" s="65"/>
      <c r="I54" s="65"/>
      <c r="J54" s="66"/>
      <c r="K54" s="65"/>
    </row>
    <row r="56" spans="1:11" ht="22" customHeight="1" x14ac:dyDescent="0.2">
      <c r="A56" s="114" t="s">
        <v>170</v>
      </c>
      <c r="B56" s="113"/>
      <c r="C56" s="113"/>
      <c r="D56" s="67" t="s">
        <v>171</v>
      </c>
      <c r="E56" s="68" t="s">
        <v>172</v>
      </c>
      <c r="F56" s="69" t="s">
        <v>173</v>
      </c>
      <c r="G56" s="67" t="s">
        <v>174</v>
      </c>
      <c r="H56" s="70" t="s">
        <v>175</v>
      </c>
      <c r="I56" s="71" t="s">
        <v>176</v>
      </c>
      <c r="J56" s="72" t="s">
        <v>177</v>
      </c>
    </row>
  </sheetData>
  <mergeCells count="10">
    <mergeCell ref="A2:K2"/>
    <mergeCell ref="A56:C56"/>
    <mergeCell ref="A46:K46"/>
    <mergeCell ref="A1:K1"/>
    <mergeCell ref="A23:K23"/>
    <mergeCell ref="A34:K34"/>
    <mergeCell ref="A4:K4"/>
    <mergeCell ref="A15:K15"/>
    <mergeCell ref="A29:K29"/>
    <mergeCell ref="A41:K4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6"/>
  <sheetViews>
    <sheetView tabSelected="1" workbookViewId="0">
      <pane ySplit="3" topLeftCell="A4" activePane="bottomLeft" state="frozen"/>
      <selection pane="bottomLeft" sqref="A1:K1"/>
    </sheetView>
  </sheetViews>
  <sheetFormatPr baseColWidth="10" defaultColWidth="8.83203125" defaultRowHeight="15" x14ac:dyDescent="0.2"/>
  <cols>
    <col min="1" max="1" width="6" customWidth="1"/>
    <col min="2" max="2" width="38" customWidth="1"/>
    <col min="3" max="3" width="18" customWidth="1"/>
    <col min="4" max="4" width="22" customWidth="1"/>
    <col min="5" max="5" width="18" customWidth="1"/>
    <col min="6" max="6" width="20" customWidth="1"/>
    <col min="7" max="7" width="10" customWidth="1"/>
    <col min="8" max="8" width="12" customWidth="1"/>
    <col min="9" max="9" width="14" customWidth="1"/>
    <col min="10" max="10" width="32" customWidth="1"/>
    <col min="11" max="11" width="16" customWidth="1"/>
  </cols>
  <sheetData>
    <row r="1" spans="1:11" ht="30" customHeight="1" x14ac:dyDescent="0.2">
      <c r="A1" s="144" t="s">
        <v>577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18" customHeight="1" x14ac:dyDescent="0.2">
      <c r="A2" s="141" t="s">
        <v>578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22" customHeight="1" x14ac:dyDescent="0.2">
      <c r="A3" s="104" t="s">
        <v>2</v>
      </c>
      <c r="B3" s="104" t="s">
        <v>3</v>
      </c>
      <c r="C3" s="104" t="s">
        <v>4</v>
      </c>
      <c r="D3" s="104" t="s">
        <v>5</v>
      </c>
      <c r="E3" s="104" t="s">
        <v>6</v>
      </c>
      <c r="F3" s="104" t="s">
        <v>180</v>
      </c>
      <c r="G3" s="104" t="s">
        <v>8</v>
      </c>
      <c r="H3" s="104" t="s">
        <v>9</v>
      </c>
      <c r="I3" s="104" t="s">
        <v>10</v>
      </c>
      <c r="J3" s="104" t="s">
        <v>11</v>
      </c>
      <c r="K3" s="104" t="s">
        <v>12</v>
      </c>
    </row>
    <row r="4" spans="1:11" ht="20" customHeight="1" x14ac:dyDescent="0.2">
      <c r="A4" s="137" t="s">
        <v>579</v>
      </c>
      <c r="B4" s="113"/>
      <c r="C4" s="113"/>
      <c r="D4" s="113"/>
      <c r="E4" s="113"/>
      <c r="F4" s="113"/>
      <c r="G4" s="113"/>
      <c r="H4" s="113"/>
      <c r="I4" s="113"/>
      <c r="J4" s="113"/>
      <c r="K4" s="113"/>
    </row>
    <row r="5" spans="1:11" ht="18" customHeight="1" x14ac:dyDescent="0.2">
      <c r="A5" s="84">
        <v>160</v>
      </c>
      <c r="B5" s="85" t="s">
        <v>413</v>
      </c>
      <c r="C5" s="84" t="s">
        <v>414</v>
      </c>
      <c r="D5" s="86" t="s">
        <v>183</v>
      </c>
      <c r="E5" s="85" t="s">
        <v>184</v>
      </c>
      <c r="F5" s="84" t="s">
        <v>415</v>
      </c>
      <c r="G5" s="86" t="s">
        <v>20</v>
      </c>
      <c r="H5" s="84"/>
      <c r="I5" s="84"/>
      <c r="J5" s="85"/>
      <c r="K5" s="84"/>
    </row>
    <row r="6" spans="1:11" ht="18" customHeight="1" x14ac:dyDescent="0.2">
      <c r="A6" s="88">
        <v>161</v>
      </c>
      <c r="B6" s="89" t="s">
        <v>416</v>
      </c>
      <c r="C6" s="88" t="s">
        <v>417</v>
      </c>
      <c r="D6" s="86" t="s">
        <v>183</v>
      </c>
      <c r="E6" s="89" t="s">
        <v>184</v>
      </c>
      <c r="F6" s="88" t="s">
        <v>415</v>
      </c>
      <c r="G6" s="86" t="s">
        <v>20</v>
      </c>
      <c r="H6" s="88"/>
      <c r="I6" s="88"/>
      <c r="J6" s="89"/>
      <c r="K6" s="88"/>
    </row>
    <row r="7" spans="1:11" ht="18" customHeight="1" x14ac:dyDescent="0.2">
      <c r="A7" s="84">
        <v>162</v>
      </c>
      <c r="B7" s="85" t="s">
        <v>418</v>
      </c>
      <c r="C7" s="84" t="s">
        <v>419</v>
      </c>
      <c r="D7" s="86" t="s">
        <v>183</v>
      </c>
      <c r="E7" s="85" t="s">
        <v>184</v>
      </c>
      <c r="F7" s="84" t="s">
        <v>415</v>
      </c>
      <c r="G7" s="91" t="s">
        <v>92</v>
      </c>
      <c r="H7" s="84"/>
      <c r="I7" s="84"/>
      <c r="J7" s="85"/>
      <c r="K7" s="84"/>
    </row>
    <row r="8" spans="1:11" ht="18" customHeight="1" x14ac:dyDescent="0.2">
      <c r="A8" s="88">
        <v>163</v>
      </c>
      <c r="B8" s="89" t="s">
        <v>420</v>
      </c>
      <c r="C8" s="88" t="s">
        <v>421</v>
      </c>
      <c r="D8" s="86" t="s">
        <v>183</v>
      </c>
      <c r="E8" s="89" t="s">
        <v>184</v>
      </c>
      <c r="F8" s="88" t="s">
        <v>415</v>
      </c>
      <c r="G8" s="91" t="s">
        <v>92</v>
      </c>
      <c r="H8" s="88"/>
      <c r="I8" s="88"/>
      <c r="J8" s="89"/>
      <c r="K8" s="88"/>
    </row>
    <row r="9" spans="1:11" ht="18" customHeight="1" x14ac:dyDescent="0.2">
      <c r="A9" s="84">
        <v>164</v>
      </c>
      <c r="B9" s="85" t="s">
        <v>422</v>
      </c>
      <c r="C9" s="84" t="s">
        <v>423</v>
      </c>
      <c r="D9" s="86" t="s">
        <v>183</v>
      </c>
      <c r="E9" s="85" t="s">
        <v>184</v>
      </c>
      <c r="F9" s="84" t="s">
        <v>415</v>
      </c>
      <c r="G9" s="86" t="s">
        <v>20</v>
      </c>
      <c r="H9" s="84"/>
      <c r="I9" s="84"/>
      <c r="J9" s="85"/>
      <c r="K9" s="84"/>
    </row>
    <row r="10" spans="1:11" ht="18" customHeight="1" x14ac:dyDescent="0.2">
      <c r="A10" s="88">
        <v>165</v>
      </c>
      <c r="B10" s="89" t="s">
        <v>424</v>
      </c>
      <c r="C10" s="88" t="s">
        <v>425</v>
      </c>
      <c r="D10" s="86" t="s">
        <v>183</v>
      </c>
      <c r="E10" s="89" t="s">
        <v>184</v>
      </c>
      <c r="F10" s="88" t="s">
        <v>415</v>
      </c>
      <c r="G10" s="91" t="s">
        <v>92</v>
      </c>
      <c r="H10" s="88"/>
      <c r="I10" s="88"/>
      <c r="J10" s="89"/>
      <c r="K10" s="88"/>
    </row>
    <row r="11" spans="1:11" ht="18" customHeight="1" x14ac:dyDescent="0.2">
      <c r="A11" s="84">
        <v>182</v>
      </c>
      <c r="B11" s="85" t="s">
        <v>464</v>
      </c>
      <c r="C11" s="84" t="s">
        <v>465</v>
      </c>
      <c r="D11" s="86" t="s">
        <v>183</v>
      </c>
      <c r="E11" s="85" t="s">
        <v>462</v>
      </c>
      <c r="F11" s="84" t="s">
        <v>415</v>
      </c>
      <c r="G11" s="86" t="s">
        <v>20</v>
      </c>
      <c r="H11" s="84"/>
      <c r="I11" s="84"/>
      <c r="J11" s="85"/>
      <c r="K11" s="84"/>
    </row>
    <row r="12" spans="1:11" ht="18" customHeight="1" x14ac:dyDescent="0.2">
      <c r="A12" s="88">
        <v>183</v>
      </c>
      <c r="B12" s="89" t="s">
        <v>466</v>
      </c>
      <c r="C12" s="88" t="s">
        <v>467</v>
      </c>
      <c r="D12" s="86" t="s">
        <v>183</v>
      </c>
      <c r="E12" s="89" t="s">
        <v>462</v>
      </c>
      <c r="F12" s="88" t="s">
        <v>415</v>
      </c>
      <c r="G12" s="86" t="s">
        <v>20</v>
      </c>
      <c r="H12" s="88"/>
      <c r="I12" s="88"/>
      <c r="J12" s="89"/>
      <c r="K12" s="88"/>
    </row>
    <row r="13" spans="1:11" ht="18" customHeight="1" x14ac:dyDescent="0.2">
      <c r="A13" s="84">
        <v>184</v>
      </c>
      <c r="B13" s="85" t="s">
        <v>468</v>
      </c>
      <c r="C13" s="84" t="s">
        <v>469</v>
      </c>
      <c r="D13" s="86" t="s">
        <v>183</v>
      </c>
      <c r="E13" s="85" t="s">
        <v>462</v>
      </c>
      <c r="F13" s="84" t="s">
        <v>415</v>
      </c>
      <c r="G13" s="86" t="s">
        <v>20</v>
      </c>
      <c r="H13" s="84"/>
      <c r="I13" s="84"/>
      <c r="J13" s="85"/>
      <c r="K13" s="84"/>
    </row>
    <row r="14" spans="1:11" ht="18" customHeight="1" x14ac:dyDescent="0.2">
      <c r="A14" s="88">
        <v>185</v>
      </c>
      <c r="B14" s="89" t="s">
        <v>470</v>
      </c>
      <c r="C14" s="88" t="s">
        <v>471</v>
      </c>
      <c r="D14" s="86" t="s">
        <v>183</v>
      </c>
      <c r="E14" s="89" t="s">
        <v>462</v>
      </c>
      <c r="F14" s="88" t="s">
        <v>415</v>
      </c>
      <c r="G14" s="91" t="s">
        <v>92</v>
      </c>
      <c r="H14" s="88"/>
      <c r="I14" s="88"/>
      <c r="J14" s="89"/>
      <c r="K14" s="88"/>
    </row>
    <row r="15" spans="1:11" ht="20" customHeight="1" x14ac:dyDescent="0.2">
      <c r="A15" s="140" t="s">
        <v>580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</row>
    <row r="16" spans="1:11" ht="18" customHeight="1" x14ac:dyDescent="0.2">
      <c r="A16" s="84">
        <v>181</v>
      </c>
      <c r="B16" s="85" t="s">
        <v>460</v>
      </c>
      <c r="C16" s="84" t="s">
        <v>461</v>
      </c>
      <c r="D16" s="86" t="s">
        <v>183</v>
      </c>
      <c r="E16" s="85" t="s">
        <v>462</v>
      </c>
      <c r="F16" s="84" t="s">
        <v>463</v>
      </c>
      <c r="G16" s="86" t="s">
        <v>20</v>
      </c>
      <c r="H16" s="84"/>
      <c r="I16" s="84"/>
      <c r="J16" s="85"/>
      <c r="K16" s="84"/>
    </row>
    <row r="17" spans="1:11" ht="18" customHeight="1" x14ac:dyDescent="0.2">
      <c r="A17" s="100">
        <v>196</v>
      </c>
      <c r="B17" s="101" t="s">
        <v>493</v>
      </c>
      <c r="C17" s="100" t="s">
        <v>494</v>
      </c>
      <c r="D17" s="86" t="s">
        <v>183</v>
      </c>
      <c r="E17" s="101" t="s">
        <v>223</v>
      </c>
      <c r="F17" s="100" t="s">
        <v>495</v>
      </c>
      <c r="G17" s="86" t="s">
        <v>20</v>
      </c>
      <c r="H17" s="100"/>
      <c r="I17" s="100"/>
      <c r="J17" s="101"/>
      <c r="K17" s="100"/>
    </row>
    <row r="18" spans="1:11" ht="18" customHeight="1" x14ac:dyDescent="0.2">
      <c r="A18" s="84">
        <v>197</v>
      </c>
      <c r="B18" s="85" t="s">
        <v>496</v>
      </c>
      <c r="C18" s="84" t="s">
        <v>497</v>
      </c>
      <c r="D18" s="86" t="s">
        <v>183</v>
      </c>
      <c r="E18" s="85" t="s">
        <v>223</v>
      </c>
      <c r="F18" s="84" t="s">
        <v>463</v>
      </c>
      <c r="G18" s="86" t="s">
        <v>20</v>
      </c>
      <c r="H18" s="84"/>
      <c r="I18" s="84"/>
      <c r="J18" s="85"/>
      <c r="K18" s="84"/>
    </row>
    <row r="19" spans="1:11" ht="18" customHeight="1" x14ac:dyDescent="0.2">
      <c r="A19" s="100">
        <v>198</v>
      </c>
      <c r="B19" s="101" t="s">
        <v>498</v>
      </c>
      <c r="C19" s="100" t="s">
        <v>499</v>
      </c>
      <c r="D19" s="86" t="s">
        <v>183</v>
      </c>
      <c r="E19" s="101" t="s">
        <v>223</v>
      </c>
      <c r="F19" s="100" t="s">
        <v>463</v>
      </c>
      <c r="G19" s="86" t="s">
        <v>20</v>
      </c>
      <c r="H19" s="100"/>
      <c r="I19" s="100"/>
      <c r="J19" s="101"/>
      <c r="K19" s="100"/>
    </row>
    <row r="20" spans="1:11" ht="20" customHeight="1" x14ac:dyDescent="0.2">
      <c r="A20" s="138" t="s">
        <v>581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</row>
    <row r="21" spans="1:11" ht="18" customHeight="1" x14ac:dyDescent="0.2">
      <c r="A21" s="84">
        <v>166</v>
      </c>
      <c r="B21" s="85" t="s">
        <v>426</v>
      </c>
      <c r="C21" s="84" t="s">
        <v>427</v>
      </c>
      <c r="D21" s="86" t="s">
        <v>183</v>
      </c>
      <c r="E21" s="85" t="s">
        <v>184</v>
      </c>
      <c r="F21" s="84" t="s">
        <v>428</v>
      </c>
      <c r="G21" s="86" t="s">
        <v>20</v>
      </c>
      <c r="H21" s="84"/>
      <c r="I21" s="84"/>
      <c r="J21" s="85"/>
      <c r="K21" s="84"/>
    </row>
    <row r="22" spans="1:11" ht="18" customHeight="1" x14ac:dyDescent="0.2">
      <c r="A22" s="92">
        <v>167</v>
      </c>
      <c r="B22" s="93" t="s">
        <v>429</v>
      </c>
      <c r="C22" s="92" t="s">
        <v>430</v>
      </c>
      <c r="D22" s="86" t="s">
        <v>183</v>
      </c>
      <c r="E22" s="93" t="s">
        <v>184</v>
      </c>
      <c r="F22" s="92" t="s">
        <v>428</v>
      </c>
      <c r="G22" s="91" t="s">
        <v>92</v>
      </c>
      <c r="H22" s="92"/>
      <c r="I22" s="92"/>
      <c r="J22" s="93"/>
      <c r="K22" s="92"/>
    </row>
    <row r="23" spans="1:11" ht="18" customHeight="1" x14ac:dyDescent="0.2">
      <c r="A23" s="84">
        <v>168</v>
      </c>
      <c r="B23" s="85" t="s">
        <v>431</v>
      </c>
      <c r="C23" s="84" t="s">
        <v>432</v>
      </c>
      <c r="D23" s="86" t="s">
        <v>183</v>
      </c>
      <c r="E23" s="85" t="s">
        <v>184</v>
      </c>
      <c r="F23" s="84" t="s">
        <v>428</v>
      </c>
      <c r="G23" s="86" t="s">
        <v>20</v>
      </c>
      <c r="H23" s="84"/>
      <c r="I23" s="84"/>
      <c r="J23" s="85"/>
      <c r="K23" s="84"/>
    </row>
    <row r="24" spans="1:11" ht="18" customHeight="1" x14ac:dyDescent="0.2">
      <c r="A24" s="92">
        <v>169</v>
      </c>
      <c r="B24" s="93" t="s">
        <v>433</v>
      </c>
      <c r="C24" s="92" t="s">
        <v>434</v>
      </c>
      <c r="D24" s="86" t="s">
        <v>183</v>
      </c>
      <c r="E24" s="93" t="s">
        <v>184</v>
      </c>
      <c r="F24" s="92" t="s">
        <v>428</v>
      </c>
      <c r="G24" s="86" t="s">
        <v>20</v>
      </c>
      <c r="H24" s="92"/>
      <c r="I24" s="92"/>
      <c r="J24" s="93"/>
      <c r="K24" s="92"/>
    </row>
    <row r="25" spans="1:11" ht="18" customHeight="1" x14ac:dyDescent="0.2">
      <c r="A25" s="84">
        <v>170</v>
      </c>
      <c r="B25" s="85" t="s">
        <v>435</v>
      </c>
      <c r="C25" s="84" t="s">
        <v>436</v>
      </c>
      <c r="D25" s="86" t="s">
        <v>183</v>
      </c>
      <c r="E25" s="85" t="s">
        <v>184</v>
      </c>
      <c r="F25" s="84" t="s">
        <v>428</v>
      </c>
      <c r="G25" s="91" t="s">
        <v>92</v>
      </c>
      <c r="H25" s="84"/>
      <c r="I25" s="84"/>
      <c r="J25" s="85"/>
      <c r="K25" s="84"/>
    </row>
    <row r="26" spans="1:11" ht="18" customHeight="1" x14ac:dyDescent="0.2">
      <c r="A26" s="92">
        <v>190</v>
      </c>
      <c r="B26" s="93" t="s">
        <v>480</v>
      </c>
      <c r="C26" s="92" t="s">
        <v>481</v>
      </c>
      <c r="D26" s="86" t="s">
        <v>183</v>
      </c>
      <c r="E26" s="93" t="s">
        <v>462</v>
      </c>
      <c r="F26" s="92" t="s">
        <v>428</v>
      </c>
      <c r="G26" s="86" t="s">
        <v>20</v>
      </c>
      <c r="H26" s="92"/>
      <c r="I26" s="92"/>
      <c r="J26" s="93"/>
      <c r="K26" s="92"/>
    </row>
    <row r="27" spans="1:11" ht="20" customHeight="1" x14ac:dyDescent="0.2">
      <c r="A27" s="145" t="s">
        <v>582</v>
      </c>
      <c r="B27" s="113"/>
      <c r="C27" s="113"/>
      <c r="D27" s="113"/>
      <c r="E27" s="113"/>
      <c r="F27" s="113"/>
      <c r="G27" s="113"/>
      <c r="H27" s="113"/>
      <c r="I27" s="113"/>
      <c r="J27" s="113"/>
      <c r="K27" s="113"/>
    </row>
    <row r="28" spans="1:11" ht="18" customHeight="1" x14ac:dyDescent="0.2">
      <c r="A28" s="84">
        <v>171</v>
      </c>
      <c r="B28" s="85" t="s">
        <v>437</v>
      </c>
      <c r="C28" s="84" t="s">
        <v>438</v>
      </c>
      <c r="D28" s="86" t="s">
        <v>183</v>
      </c>
      <c r="E28" s="85" t="s">
        <v>184</v>
      </c>
      <c r="F28" s="84" t="s">
        <v>439</v>
      </c>
      <c r="G28" s="86" t="s">
        <v>20</v>
      </c>
      <c r="H28" s="84"/>
      <c r="I28" s="84"/>
      <c r="J28" s="85"/>
      <c r="K28" s="84"/>
    </row>
    <row r="29" spans="1:11" ht="18" customHeight="1" x14ac:dyDescent="0.2">
      <c r="A29" s="94">
        <v>172</v>
      </c>
      <c r="B29" s="95" t="s">
        <v>440</v>
      </c>
      <c r="C29" s="94" t="s">
        <v>441</v>
      </c>
      <c r="D29" s="86" t="s">
        <v>183</v>
      </c>
      <c r="E29" s="95" t="s">
        <v>184</v>
      </c>
      <c r="F29" s="94" t="s">
        <v>439</v>
      </c>
      <c r="G29" s="86" t="s">
        <v>20</v>
      </c>
      <c r="H29" s="94"/>
      <c r="I29" s="94"/>
      <c r="J29" s="95"/>
      <c r="K29" s="94"/>
    </row>
    <row r="30" spans="1:11" ht="18" customHeight="1" x14ac:dyDescent="0.2">
      <c r="A30" s="84">
        <v>173</v>
      </c>
      <c r="B30" s="85" t="s">
        <v>442</v>
      </c>
      <c r="C30" s="84" t="s">
        <v>443</v>
      </c>
      <c r="D30" s="86" t="s">
        <v>183</v>
      </c>
      <c r="E30" s="85" t="s">
        <v>184</v>
      </c>
      <c r="F30" s="84" t="s">
        <v>439</v>
      </c>
      <c r="G30" s="91" t="s">
        <v>92</v>
      </c>
      <c r="H30" s="84"/>
      <c r="I30" s="84"/>
      <c r="J30" s="85"/>
      <c r="K30" s="84"/>
    </row>
    <row r="31" spans="1:11" ht="18" customHeight="1" x14ac:dyDescent="0.2">
      <c r="A31" s="94">
        <v>186</v>
      </c>
      <c r="B31" s="95" t="s">
        <v>472</v>
      </c>
      <c r="C31" s="94" t="s">
        <v>473</v>
      </c>
      <c r="D31" s="86" t="s">
        <v>183</v>
      </c>
      <c r="E31" s="95" t="s">
        <v>462</v>
      </c>
      <c r="F31" s="94" t="s">
        <v>439</v>
      </c>
      <c r="G31" s="86" t="s">
        <v>20</v>
      </c>
      <c r="H31" s="94"/>
      <c r="I31" s="94"/>
      <c r="J31" s="95"/>
      <c r="K31" s="94"/>
    </row>
    <row r="32" spans="1:11" ht="18" customHeight="1" x14ac:dyDescent="0.2">
      <c r="A32" s="84">
        <v>187</v>
      </c>
      <c r="B32" s="85" t="s">
        <v>474</v>
      </c>
      <c r="C32" s="84" t="s">
        <v>475</v>
      </c>
      <c r="D32" s="86" t="s">
        <v>183</v>
      </c>
      <c r="E32" s="85" t="s">
        <v>462</v>
      </c>
      <c r="F32" s="84" t="s">
        <v>439</v>
      </c>
      <c r="G32" s="86" t="s">
        <v>20</v>
      </c>
      <c r="H32" s="84"/>
      <c r="I32" s="84"/>
      <c r="J32" s="85"/>
      <c r="K32" s="84"/>
    </row>
    <row r="33" spans="1:11" ht="18" customHeight="1" x14ac:dyDescent="0.2">
      <c r="A33" s="94">
        <v>188</v>
      </c>
      <c r="B33" s="95" t="s">
        <v>476</v>
      </c>
      <c r="C33" s="94" t="s">
        <v>477</v>
      </c>
      <c r="D33" s="86" t="s">
        <v>183</v>
      </c>
      <c r="E33" s="95" t="s">
        <v>462</v>
      </c>
      <c r="F33" s="94" t="s">
        <v>439</v>
      </c>
      <c r="G33" s="86" t="s">
        <v>20</v>
      </c>
      <c r="H33" s="94"/>
      <c r="I33" s="94"/>
      <c r="J33" s="95"/>
      <c r="K33" s="94"/>
    </row>
    <row r="34" spans="1:11" ht="18" customHeight="1" x14ac:dyDescent="0.2">
      <c r="A34" s="84">
        <v>189</v>
      </c>
      <c r="B34" s="85" t="s">
        <v>478</v>
      </c>
      <c r="C34" s="84" t="s">
        <v>479</v>
      </c>
      <c r="D34" s="86" t="s">
        <v>183</v>
      </c>
      <c r="E34" s="85" t="s">
        <v>462</v>
      </c>
      <c r="F34" s="84" t="s">
        <v>439</v>
      </c>
      <c r="G34" s="86" t="s">
        <v>20</v>
      </c>
      <c r="H34" s="84"/>
      <c r="I34" s="84"/>
      <c r="J34" s="85"/>
      <c r="K34" s="84"/>
    </row>
    <row r="35" spans="1:11" ht="18" customHeight="1" x14ac:dyDescent="0.2">
      <c r="A35" s="94">
        <v>199</v>
      </c>
      <c r="B35" s="95" t="s">
        <v>500</v>
      </c>
      <c r="C35" s="94" t="s">
        <v>501</v>
      </c>
      <c r="D35" s="86" t="s">
        <v>183</v>
      </c>
      <c r="E35" s="95" t="s">
        <v>223</v>
      </c>
      <c r="F35" s="94" t="s">
        <v>439</v>
      </c>
      <c r="G35" s="86" t="s">
        <v>20</v>
      </c>
      <c r="H35" s="94"/>
      <c r="I35" s="94"/>
      <c r="J35" s="95"/>
      <c r="K35" s="94"/>
    </row>
    <row r="36" spans="1:11" ht="18" customHeight="1" x14ac:dyDescent="0.2">
      <c r="A36" s="84">
        <v>200</v>
      </c>
      <c r="B36" s="85" t="s">
        <v>502</v>
      </c>
      <c r="C36" s="84" t="s">
        <v>503</v>
      </c>
      <c r="D36" s="86" t="s">
        <v>183</v>
      </c>
      <c r="E36" s="85" t="s">
        <v>223</v>
      </c>
      <c r="F36" s="84" t="s">
        <v>439</v>
      </c>
      <c r="G36" s="91" t="s">
        <v>92</v>
      </c>
      <c r="H36" s="84"/>
      <c r="I36" s="84"/>
      <c r="J36" s="85"/>
      <c r="K36" s="84"/>
    </row>
    <row r="37" spans="1:11" ht="18" customHeight="1" x14ac:dyDescent="0.2">
      <c r="A37" s="94">
        <v>201</v>
      </c>
      <c r="B37" s="95" t="s">
        <v>504</v>
      </c>
      <c r="C37" s="94" t="s">
        <v>505</v>
      </c>
      <c r="D37" s="86" t="s">
        <v>183</v>
      </c>
      <c r="E37" s="95" t="s">
        <v>223</v>
      </c>
      <c r="F37" s="94" t="s">
        <v>439</v>
      </c>
      <c r="G37" s="86" t="s">
        <v>20</v>
      </c>
      <c r="H37" s="94"/>
      <c r="I37" s="94"/>
      <c r="J37" s="95"/>
      <c r="K37" s="94"/>
    </row>
    <row r="38" spans="1:11" ht="18" customHeight="1" x14ac:dyDescent="0.2">
      <c r="A38" s="84">
        <v>202</v>
      </c>
      <c r="B38" s="85" t="s">
        <v>506</v>
      </c>
      <c r="C38" s="84" t="s">
        <v>507</v>
      </c>
      <c r="D38" s="86" t="s">
        <v>183</v>
      </c>
      <c r="E38" s="85" t="s">
        <v>223</v>
      </c>
      <c r="F38" s="84" t="s">
        <v>439</v>
      </c>
      <c r="G38" s="91" t="s">
        <v>92</v>
      </c>
      <c r="H38" s="84"/>
      <c r="I38" s="84"/>
      <c r="J38" s="85"/>
      <c r="K38" s="84"/>
    </row>
    <row r="39" spans="1:11" ht="20" customHeight="1" x14ac:dyDescent="0.2">
      <c r="A39" s="139" t="s">
        <v>583</v>
      </c>
      <c r="B39" s="113"/>
      <c r="C39" s="113"/>
      <c r="D39" s="113"/>
      <c r="E39" s="113"/>
      <c r="F39" s="113"/>
      <c r="G39" s="113"/>
      <c r="H39" s="113"/>
      <c r="I39" s="113"/>
      <c r="J39" s="113"/>
      <c r="K39" s="113"/>
    </row>
    <row r="40" spans="1:11" ht="18" customHeight="1" x14ac:dyDescent="0.2">
      <c r="A40" s="84">
        <v>174</v>
      </c>
      <c r="B40" s="85" t="s">
        <v>444</v>
      </c>
      <c r="C40" s="84" t="s">
        <v>445</v>
      </c>
      <c r="D40" s="86" t="s">
        <v>183</v>
      </c>
      <c r="E40" s="85" t="s">
        <v>184</v>
      </c>
      <c r="F40" s="84" t="s">
        <v>446</v>
      </c>
      <c r="G40" s="86" t="s">
        <v>20</v>
      </c>
      <c r="H40" s="84"/>
      <c r="I40" s="84"/>
      <c r="J40" s="85"/>
      <c r="K40" s="84"/>
    </row>
    <row r="41" spans="1:11" ht="18" customHeight="1" x14ac:dyDescent="0.2">
      <c r="A41" s="96">
        <v>175</v>
      </c>
      <c r="B41" s="97" t="s">
        <v>447</v>
      </c>
      <c r="C41" s="96" t="s">
        <v>448</v>
      </c>
      <c r="D41" s="86" t="s">
        <v>183</v>
      </c>
      <c r="E41" s="97" t="s">
        <v>184</v>
      </c>
      <c r="F41" s="96" t="s">
        <v>446</v>
      </c>
      <c r="G41" s="86" t="s">
        <v>20</v>
      </c>
      <c r="H41" s="96"/>
      <c r="I41" s="96"/>
      <c r="J41" s="97"/>
      <c r="K41" s="96"/>
    </row>
    <row r="42" spans="1:11" ht="18" customHeight="1" x14ac:dyDescent="0.2">
      <c r="A42" s="84">
        <v>176</v>
      </c>
      <c r="B42" s="85" t="s">
        <v>449</v>
      </c>
      <c r="C42" s="84" t="s">
        <v>450</v>
      </c>
      <c r="D42" s="86" t="s">
        <v>183</v>
      </c>
      <c r="E42" s="85" t="s">
        <v>184</v>
      </c>
      <c r="F42" s="84" t="s">
        <v>446</v>
      </c>
      <c r="G42" s="91" t="s">
        <v>92</v>
      </c>
      <c r="H42" s="84"/>
      <c r="I42" s="84"/>
      <c r="J42" s="85"/>
      <c r="K42" s="84"/>
    </row>
    <row r="43" spans="1:11" ht="18" customHeight="1" x14ac:dyDescent="0.2">
      <c r="A43" s="96">
        <v>177</v>
      </c>
      <c r="B43" s="97" t="s">
        <v>451</v>
      </c>
      <c r="C43" s="96" t="s">
        <v>452</v>
      </c>
      <c r="D43" s="86" t="s">
        <v>183</v>
      </c>
      <c r="E43" s="97" t="s">
        <v>184</v>
      </c>
      <c r="F43" s="96" t="s">
        <v>446</v>
      </c>
      <c r="G43" s="86" t="s">
        <v>20</v>
      </c>
      <c r="H43" s="96"/>
      <c r="I43" s="96"/>
      <c r="J43" s="97"/>
      <c r="K43" s="96"/>
    </row>
    <row r="44" spans="1:11" ht="18" customHeight="1" x14ac:dyDescent="0.2">
      <c r="A44" s="84">
        <v>191</v>
      </c>
      <c r="B44" s="85" t="s">
        <v>482</v>
      </c>
      <c r="C44" s="84" t="s">
        <v>483</v>
      </c>
      <c r="D44" s="86" t="s">
        <v>183</v>
      </c>
      <c r="E44" s="85" t="s">
        <v>462</v>
      </c>
      <c r="F44" s="84" t="s">
        <v>446</v>
      </c>
      <c r="G44" s="86" t="s">
        <v>20</v>
      </c>
      <c r="H44" s="84"/>
      <c r="I44" s="84"/>
      <c r="J44" s="85"/>
      <c r="K44" s="84"/>
    </row>
    <row r="45" spans="1:11" ht="18" customHeight="1" x14ac:dyDescent="0.2">
      <c r="A45" s="96">
        <v>192</v>
      </c>
      <c r="B45" s="97" t="s">
        <v>484</v>
      </c>
      <c r="C45" s="96" t="s">
        <v>485</v>
      </c>
      <c r="D45" s="86" t="s">
        <v>183</v>
      </c>
      <c r="E45" s="97" t="s">
        <v>462</v>
      </c>
      <c r="F45" s="96" t="s">
        <v>446</v>
      </c>
      <c r="G45" s="86" t="s">
        <v>20</v>
      </c>
      <c r="H45" s="96"/>
      <c r="I45" s="96"/>
      <c r="J45" s="97"/>
      <c r="K45" s="96"/>
    </row>
    <row r="46" spans="1:11" ht="18" customHeight="1" x14ac:dyDescent="0.2">
      <c r="A46" s="84">
        <v>193</v>
      </c>
      <c r="B46" s="85" t="s">
        <v>486</v>
      </c>
      <c r="C46" s="84" t="s">
        <v>487</v>
      </c>
      <c r="D46" s="86" t="s">
        <v>183</v>
      </c>
      <c r="E46" s="85" t="s">
        <v>462</v>
      </c>
      <c r="F46" s="84" t="s">
        <v>488</v>
      </c>
      <c r="G46" s="86" t="s">
        <v>20</v>
      </c>
      <c r="H46" s="84"/>
      <c r="I46" s="84"/>
      <c r="J46" s="85"/>
      <c r="K46" s="84"/>
    </row>
    <row r="47" spans="1:11" ht="18" customHeight="1" x14ac:dyDescent="0.2">
      <c r="A47" s="96">
        <v>194</v>
      </c>
      <c r="B47" s="97" t="s">
        <v>489</v>
      </c>
      <c r="C47" s="96" t="s">
        <v>490</v>
      </c>
      <c r="D47" s="86" t="s">
        <v>183</v>
      </c>
      <c r="E47" s="97" t="s">
        <v>462</v>
      </c>
      <c r="F47" s="96" t="s">
        <v>446</v>
      </c>
      <c r="G47" s="91" t="s">
        <v>92</v>
      </c>
      <c r="H47" s="96"/>
      <c r="I47" s="96"/>
      <c r="J47" s="97"/>
      <c r="K47" s="96"/>
    </row>
    <row r="48" spans="1:11" ht="18" customHeight="1" x14ac:dyDescent="0.2">
      <c r="A48" s="84">
        <v>195</v>
      </c>
      <c r="B48" s="85" t="s">
        <v>491</v>
      </c>
      <c r="C48" s="84" t="s">
        <v>492</v>
      </c>
      <c r="D48" s="86" t="s">
        <v>183</v>
      </c>
      <c r="E48" s="85" t="s">
        <v>462</v>
      </c>
      <c r="F48" s="84" t="s">
        <v>446</v>
      </c>
      <c r="G48" s="86" t="s">
        <v>20</v>
      </c>
      <c r="H48" s="84"/>
      <c r="I48" s="84"/>
      <c r="J48" s="85"/>
      <c r="K48" s="84"/>
    </row>
    <row r="49" spans="1:11" ht="20" customHeight="1" x14ac:dyDescent="0.2">
      <c r="A49" s="142" t="s">
        <v>584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</row>
    <row r="50" spans="1:11" ht="18" customHeight="1" x14ac:dyDescent="0.2">
      <c r="A50" s="84">
        <v>178</v>
      </c>
      <c r="B50" s="85" t="s">
        <v>453</v>
      </c>
      <c r="C50" s="84" t="s">
        <v>454</v>
      </c>
      <c r="D50" s="86" t="s">
        <v>183</v>
      </c>
      <c r="E50" s="85" t="s">
        <v>184</v>
      </c>
      <c r="F50" s="84" t="s">
        <v>455</v>
      </c>
      <c r="G50" s="86" t="s">
        <v>20</v>
      </c>
      <c r="H50" s="84"/>
      <c r="I50" s="84"/>
      <c r="J50" s="85"/>
      <c r="K50" s="84"/>
    </row>
    <row r="51" spans="1:11" ht="18" customHeight="1" x14ac:dyDescent="0.2">
      <c r="A51" s="98">
        <v>179</v>
      </c>
      <c r="B51" s="99" t="s">
        <v>456</v>
      </c>
      <c r="C51" s="98" t="s">
        <v>457</v>
      </c>
      <c r="D51" s="86" t="s">
        <v>183</v>
      </c>
      <c r="E51" s="99" t="s">
        <v>184</v>
      </c>
      <c r="F51" s="98" t="s">
        <v>455</v>
      </c>
      <c r="G51" s="86" t="s">
        <v>20</v>
      </c>
      <c r="H51" s="98"/>
      <c r="I51" s="98"/>
      <c r="J51" s="99"/>
      <c r="K51" s="98"/>
    </row>
    <row r="52" spans="1:11" ht="18" customHeight="1" x14ac:dyDescent="0.2">
      <c r="A52" s="84">
        <v>180</v>
      </c>
      <c r="B52" s="85" t="s">
        <v>458</v>
      </c>
      <c r="C52" s="84" t="s">
        <v>459</v>
      </c>
      <c r="D52" s="86" t="s">
        <v>183</v>
      </c>
      <c r="E52" s="85" t="s">
        <v>184</v>
      </c>
      <c r="F52" s="84" t="s">
        <v>455</v>
      </c>
      <c r="G52" s="91" t="s">
        <v>92</v>
      </c>
      <c r="H52" s="84"/>
      <c r="I52" s="84"/>
      <c r="J52" s="85"/>
      <c r="K52" s="84"/>
    </row>
    <row r="53" spans="1:11" ht="18" customHeight="1" x14ac:dyDescent="0.2">
      <c r="A53" s="98">
        <v>203</v>
      </c>
      <c r="B53" s="99" t="s">
        <v>508</v>
      </c>
      <c r="C53" s="98" t="s">
        <v>509</v>
      </c>
      <c r="D53" s="86" t="s">
        <v>183</v>
      </c>
      <c r="E53" s="99" t="s">
        <v>223</v>
      </c>
      <c r="F53" s="98" t="s">
        <v>455</v>
      </c>
      <c r="G53" s="86" t="s">
        <v>20</v>
      </c>
      <c r="H53" s="98"/>
      <c r="I53" s="98"/>
      <c r="J53" s="99"/>
      <c r="K53" s="98"/>
    </row>
    <row r="54" spans="1:11" ht="18" customHeight="1" x14ac:dyDescent="0.2">
      <c r="A54" s="84">
        <v>204</v>
      </c>
      <c r="B54" s="85" t="s">
        <v>510</v>
      </c>
      <c r="C54" s="84" t="s">
        <v>511</v>
      </c>
      <c r="D54" s="86" t="s">
        <v>183</v>
      </c>
      <c r="E54" s="85" t="s">
        <v>223</v>
      </c>
      <c r="F54" s="84" t="s">
        <v>455</v>
      </c>
      <c r="G54" s="91" t="s">
        <v>92</v>
      </c>
      <c r="H54" s="84"/>
      <c r="I54" s="84"/>
      <c r="J54" s="85"/>
      <c r="K54" s="84"/>
    </row>
    <row r="56" spans="1:11" ht="22" customHeight="1" x14ac:dyDescent="0.2">
      <c r="A56" s="143" t="s">
        <v>334</v>
      </c>
      <c r="B56" s="113"/>
      <c r="C56" s="113"/>
      <c r="D56" s="104" t="s">
        <v>585</v>
      </c>
      <c r="E56" s="105">
        <f>COUNTA(B4:B54)</f>
        <v>45</v>
      </c>
      <c r="F56" s="104" t="s">
        <v>184</v>
      </c>
      <c r="G56" s="105">
        <f>COUNTIF(E4:E54,"Dental")</f>
        <v>21</v>
      </c>
      <c r="H56" s="104" t="s">
        <v>462</v>
      </c>
      <c r="I56" s="105">
        <f>COUNTIF(E4:E54,"Chiro / PT")</f>
        <v>15</v>
      </c>
      <c r="J56" s="104" t="s">
        <v>223</v>
      </c>
      <c r="K56" s="105">
        <f>COUNTIF(E4:E54,"Urgent Care")</f>
        <v>9</v>
      </c>
    </row>
  </sheetData>
  <mergeCells count="9">
    <mergeCell ref="A49:K49"/>
    <mergeCell ref="A56:C56"/>
    <mergeCell ref="A1:K1"/>
    <mergeCell ref="A27:K27"/>
    <mergeCell ref="A4:K4"/>
    <mergeCell ref="A20:K20"/>
    <mergeCell ref="A39:K39"/>
    <mergeCell ref="A15:K15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Call Sheet</vt:lpstr>
      <vt:lpstr>Healthcare</vt:lpstr>
      <vt:lpstr>Law Firms</vt:lpstr>
      <vt:lpstr>Construction &amp; Contracting</vt:lpstr>
      <vt:lpstr>Regenerative Medicine</vt:lpstr>
      <vt:lpstr>Multi-State Expansion</vt:lpstr>
      <vt:lpstr>Florida Healthcare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Dagoberto Farias</cp:lastModifiedBy>
  <cp:revision>0</cp:revision>
  <dcterms:created xsi:type="dcterms:W3CDTF">2026-03-12T21:35:57Z</dcterms:created>
  <dcterms:modified xsi:type="dcterms:W3CDTF">2026-04-18T17:11:21Z</dcterms:modified>
  <dc:language>en-US</dc:language>
</cp:coreProperties>
</file>