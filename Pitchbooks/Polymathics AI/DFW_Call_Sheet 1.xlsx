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gobertofarias/Desktop/Polymathics/Pitchbooks/Polymathics AI/"/>
    </mc:Choice>
  </mc:AlternateContent>
  <xr:revisionPtr revIDLastSave="0" documentId="8_{8D36B752-A27F-4140-80C8-62BD13DDE229}" xr6:coauthVersionLast="47" xr6:coauthVersionMax="47" xr10:uidLastSave="{00000000-0000-0000-0000-000000000000}"/>
  <bookViews>
    <workbookView xWindow="63280" yWindow="2480" windowWidth="40380" windowHeight="23140" tabRatio="500" activeTab="1" xr2:uid="{00000000-000D-0000-FFFF-FFFF00000000}"/>
  </bookViews>
  <sheets>
    <sheet name="Master Call Sheet" sheetId="1" r:id="rId1"/>
    <sheet name="Healthcare" sheetId="2" r:id="rId2"/>
    <sheet name="Law Firms" sheetId="3" r:id="rId3"/>
    <sheet name="Construction &amp; Contractin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71" i="1" l="1"/>
  <c r="K71" i="1"/>
  <c r="I71" i="1"/>
  <c r="G71" i="1"/>
  <c r="E71" i="1"/>
</calcChain>
</file>

<file path=xl/sharedStrings.xml><?xml version="1.0" encoding="utf-8"?>
<sst xmlns="http://schemas.openxmlformats.org/spreadsheetml/2006/main" count="852" uniqueCount="180">
  <si>
    <t>POLYMATHICS AI — DFW AI Receptionist Prospect Call Sheet</t>
  </si>
  <si>
    <t>Dallas – Fort Worth Metroplex  |  Healthcare  •  Law Firms  •  Construction &amp; Contracting  |  Updated March 2026</t>
  </si>
  <si>
    <t>#</t>
  </si>
  <si>
    <t>Business Name</t>
  </si>
  <si>
    <t>Phone Number</t>
  </si>
  <si>
    <t>Business Type</t>
  </si>
  <si>
    <t>Sub-Category</t>
  </si>
  <si>
    <t>City</t>
  </si>
  <si>
    <t>Priority</t>
  </si>
  <si>
    <t>Called?</t>
  </si>
  <si>
    <t>Demo Booked?</t>
  </si>
  <si>
    <t>Notes</t>
  </si>
  <si>
    <t>Follow-Up Date</t>
  </si>
  <si>
    <t>Mighty Smiles Dental (Fort Worth)</t>
  </si>
  <si>
    <t>(817) 449-2545</t>
  </si>
  <si>
    <t>Healthcare</t>
  </si>
  <si>
    <t>Dental</t>
  </si>
  <si>
    <t>Fort Worth</t>
  </si>
  <si>
    <t>High</t>
  </si>
  <si>
    <t>Mighty Smiles Dental (Dallas)</t>
  </si>
  <si>
    <t>(972) 362-8000</t>
  </si>
  <si>
    <t>Dallas</t>
  </si>
  <si>
    <t>JPS Health Network Dental Clinics</t>
  </si>
  <si>
    <t>(817) 702-3567</t>
  </si>
  <si>
    <t>Medium</t>
  </si>
  <si>
    <t>Catholic Charities FW Dental Clinic</t>
  </si>
  <si>
    <t>(817) 289-3882</t>
  </si>
  <si>
    <t>Brown Family Dentistry</t>
  </si>
  <si>
    <t>(817) 625-1548</t>
  </si>
  <si>
    <t>Fort Dental</t>
  </si>
  <si>
    <t>Dentistry of Fort Worth</t>
  </si>
  <si>
    <t>(817) 820-0777</t>
  </si>
  <si>
    <t>Renaissance Dental (Fort Worth)</t>
  </si>
  <si>
    <t>(817) 361-1999</t>
  </si>
  <si>
    <t>Texas Medical Institute</t>
  </si>
  <si>
    <t>(817) 615-8633</t>
  </si>
  <si>
    <t>Chiropractic</t>
  </si>
  <si>
    <t>BestHealth Chiropractic Clinic</t>
  </si>
  <si>
    <t>(817) 237-5900</t>
  </si>
  <si>
    <t>Premier Injury Chiropractic</t>
  </si>
  <si>
    <t>(817) 834-7422</t>
  </si>
  <si>
    <t>Eastside Chiropractic</t>
  </si>
  <si>
    <t>(817) 457-4441</t>
  </si>
  <si>
    <t>Prime Spine Wellness</t>
  </si>
  <si>
    <t>(817) 346-0453</t>
  </si>
  <si>
    <t>River Oaks Chiropractic</t>
  </si>
  <si>
    <t>(817) 625-1165</t>
  </si>
  <si>
    <t>House of Bones Chiropractic</t>
  </si>
  <si>
    <t>(817) 576-8570</t>
  </si>
  <si>
    <t>Posture Perfect Wellness Center</t>
  </si>
  <si>
    <t>(972) 525-8715</t>
  </si>
  <si>
    <t>Luna Physical Therapy (in-home DFW)</t>
  </si>
  <si>
    <t>(866) 525-3175</t>
  </si>
  <si>
    <t>Physical Therapy</t>
  </si>
  <si>
    <t>DFW Metro</t>
  </si>
  <si>
    <t>Marsalis Avenue Urgent Care Clinic</t>
  </si>
  <si>
    <t>(214) 432-1450</t>
  </si>
  <si>
    <t>Urgent Care</t>
  </si>
  <si>
    <t>XPRESSDOC DFW Mobile Urgent Care</t>
  </si>
  <si>
    <t>(214) 813-9632</t>
  </si>
  <si>
    <t>ER of Dallas</t>
  </si>
  <si>
    <t>(214) 613-6694</t>
  </si>
  <si>
    <t>Emergency Room</t>
  </si>
  <si>
    <t>Integra Urgent Care</t>
  </si>
  <si>
    <t>(469) 701-0420</t>
  </si>
  <si>
    <t>CityDoc Urgent Care (Fort Worth)</t>
  </si>
  <si>
    <t>(817) 439-7070</t>
  </si>
  <si>
    <t>Jim Adler — The Texas Hammer</t>
  </si>
  <si>
    <t>(800) 505-1414</t>
  </si>
  <si>
    <t>Law Firm</t>
  </si>
  <si>
    <t>Personal Injury</t>
  </si>
  <si>
    <t>Mullen &amp; Mullen Law Firm</t>
  </si>
  <si>
    <t>(214) 747-5240</t>
  </si>
  <si>
    <t>Anderson Injury Lawyers (Dallas)</t>
  </si>
  <si>
    <t>(214) 327-8000</t>
  </si>
  <si>
    <t>Anderson Injury Lawyers (Fort Worth)</t>
  </si>
  <si>
    <t>(817) 294-1900</t>
  </si>
  <si>
    <t>Fielding Law (Fort Worth)</t>
  </si>
  <si>
    <t>(877) 880-4090</t>
  </si>
  <si>
    <t>Kraft &amp; Associates</t>
  </si>
  <si>
    <t>(214) 999-9999</t>
  </si>
  <si>
    <t>Law Office of Michael F. Pezzulli</t>
  </si>
  <si>
    <t>(972) 713-1300</t>
  </si>
  <si>
    <t>Tate Law Offices</t>
  </si>
  <si>
    <t>(214) 617-2222</t>
  </si>
  <si>
    <t>DFW Injury Lawyers</t>
  </si>
  <si>
    <t>(214) 306-8809</t>
  </si>
  <si>
    <t>Hosseiny &amp; Herrera Law Firm</t>
  </si>
  <si>
    <t>(214) 357-7530</t>
  </si>
  <si>
    <t>Family / Immigration / Criminal</t>
  </si>
  <si>
    <t>Mathur Law Offices, P.C.</t>
  </si>
  <si>
    <t>(888) 867-5191</t>
  </si>
  <si>
    <t>Chavez &amp; Valko LLP</t>
  </si>
  <si>
    <t>(817) 332-1100</t>
  </si>
  <si>
    <t>Immigration</t>
  </si>
  <si>
    <t>The Piri Law Firm</t>
  </si>
  <si>
    <t>(833) 600-0029</t>
  </si>
  <si>
    <t>Immigration / Criminal</t>
  </si>
  <si>
    <t>The Meza Law Firm, PLLC</t>
  </si>
  <si>
    <t>(817) 732-6392</t>
  </si>
  <si>
    <t>Law Office of Yovanna Vargas</t>
  </si>
  <si>
    <t>(214) 974-3793</t>
  </si>
  <si>
    <t>Mark E. Jacobs, P.C.</t>
  </si>
  <si>
    <t>(972) 616-4091</t>
  </si>
  <si>
    <t>Saenz-Garcia Law, PLLC</t>
  </si>
  <si>
    <t>(469) 626-8472</t>
  </si>
  <si>
    <t>The Texas Attorney</t>
  </si>
  <si>
    <t>(844) 402-2992</t>
  </si>
  <si>
    <t>Workers Comp / Estate</t>
  </si>
  <si>
    <t>MLF Legal</t>
  </si>
  <si>
    <t>(817) 405-4552</t>
  </si>
  <si>
    <t>Workers Comp</t>
  </si>
  <si>
    <t>Adam Henderson Law Firm</t>
  </si>
  <si>
    <t>(214) 664-9999</t>
  </si>
  <si>
    <t>Lon Smith Roofing</t>
  </si>
  <si>
    <t>(800) 317-4791</t>
  </si>
  <si>
    <t>Construction / Contracting</t>
  </si>
  <si>
    <t>Roofing</t>
  </si>
  <si>
    <t>T Rock Roofing &amp; Contracting</t>
  </si>
  <si>
    <t>(469) 931-9867</t>
  </si>
  <si>
    <t>Tarrant Roofing (Fort Worth)</t>
  </si>
  <si>
    <t>(817) 571-7809</t>
  </si>
  <si>
    <t>Tarrant Roofing (Dallas)</t>
  </si>
  <si>
    <t>(972) 470-9999</t>
  </si>
  <si>
    <t>Ready Roofing &amp; Solar Dallas</t>
  </si>
  <si>
    <t>(972) 736-9468</t>
  </si>
  <si>
    <t>Empire Roofing, Inc.</t>
  </si>
  <si>
    <t>(817) 572-2250</t>
  </si>
  <si>
    <t>CSI Roofers</t>
  </si>
  <si>
    <t>(817) 503-2177</t>
  </si>
  <si>
    <t>Texas Direct Roofing &amp; Construction</t>
  </si>
  <si>
    <t>(817) 775-3540</t>
  </si>
  <si>
    <t>Martin-Tomlinson Roofing (Commercial)</t>
  </si>
  <si>
    <t>(214) 388-4871</t>
  </si>
  <si>
    <t>Bert Roofing, Inc.</t>
  </si>
  <si>
    <t>(214) 321-9341</t>
  </si>
  <si>
    <t>Old Pro Roofing (Fort Worth)</t>
  </si>
  <si>
    <t>(817) 929-7663</t>
  </si>
  <si>
    <t>Baker Brothers Plumbing, AC &amp; Electrical</t>
  </si>
  <si>
    <t>(214) 892-2225</t>
  </si>
  <si>
    <t>HVAC / Plumbing / Electrical</t>
  </si>
  <si>
    <t>A#1 Air</t>
  </si>
  <si>
    <t>(972) 746-2224</t>
  </si>
  <si>
    <t>HVAC</t>
  </si>
  <si>
    <t>Berkeys Plumbing, AC &amp; Electrical (Dallas)</t>
  </si>
  <si>
    <t>(877) 746-6855</t>
  </si>
  <si>
    <t>HVAC / Plumbing</t>
  </si>
  <si>
    <t>Berkeys Plumbing, AC &amp; Electrical (FW)</t>
  </si>
  <si>
    <t>(817) 799-6090</t>
  </si>
  <si>
    <t>LEX Air Conditioning and Heating</t>
  </si>
  <si>
    <t>(972) 466-1917</t>
  </si>
  <si>
    <t>Service Experts Dallas</t>
  </si>
  <si>
    <t>(972) 619-7607</t>
  </si>
  <si>
    <t>Astar DFW</t>
  </si>
  <si>
    <t>(972) 473-7428</t>
  </si>
  <si>
    <t>Willard HVAC</t>
  </si>
  <si>
    <t>(817) 500-8777</t>
  </si>
  <si>
    <t>Marshall Construction Company</t>
  </si>
  <si>
    <t>(817) 731-6363</t>
  </si>
  <si>
    <t>General Contractor</t>
  </si>
  <si>
    <t>MCS DFW Remodeling</t>
  </si>
  <si>
    <t>(469) 868-0839</t>
  </si>
  <si>
    <t>Manta Construction</t>
  </si>
  <si>
    <t>(214) 717-0110</t>
  </si>
  <si>
    <t>DFW Improved</t>
  </si>
  <si>
    <t>(214) 494-9068</t>
  </si>
  <si>
    <t>Texas Builders Inc.</t>
  </si>
  <si>
    <t>(817) 263-2833</t>
  </si>
  <si>
    <t>TOTALS</t>
  </si>
  <si>
    <t>Total Leads</t>
  </si>
  <si>
    <t>Law Firms</t>
  </si>
  <si>
    <t>High Priority</t>
  </si>
  <si>
    <t>LEGEND:   🟢 Healthcare   🔵 Law Firm   🟡 Construction / Contracting  |  Priority: HIGH = Call First  |  Columns H–K: Fill in as you work through the list</t>
  </si>
  <si>
    <t>POLYMATHICS AI — Healthcare Prospects | DFW</t>
  </si>
  <si>
    <t>Dental • Chiropractic • Physical Therapy • Urgent Care — Dallas / Fort Worth</t>
  </si>
  <si>
    <t>POLYMATHICS AI — Law Firm Prospects | DFW</t>
  </si>
  <si>
    <t>Personal Injury • Family Law • Immigration • Criminal Defense • Workers Comp — Dallas / Fort Worth</t>
  </si>
  <si>
    <t>POLYMATHICS AI — Construction &amp; Contracting Prospects | DFW</t>
  </si>
  <si>
    <t>Roofing • HVAC • Plumbing • Electrical • General Contractors — Dallas / Fort Worth</t>
  </si>
  <si>
    <t>Website links don't work for appt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</si>
</sst>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b/>
      <sz val="10"/>
      <color rgb="FF1B3A6B"/>
      <name val="Arial"/>
      <family val="2"/>
    </font>
    <font>
      <b/>
      <sz val="11"/>
      <color rgb="FF1B3A6B"/>
      <name val="Arial"/>
      <family val="2"/>
    </font>
    <font>
      <i/>
      <sz val="9"/>
      <color rgb="FF6B7280"/>
      <name val="Arial"/>
      <family val="2"/>
    </font>
    <font>
      <b/>
      <sz val="14"/>
      <color rgb="FFFFFFFF"/>
      <name val="Arial"/>
      <family val="2"/>
    </font>
    <font>
      <b/>
      <sz val="14"/>
      <color rgb="FF1B3A6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A8"/>
        <bgColor rgb="FF3366FF"/>
      </patternFill>
    </fill>
    <fill>
      <patternFill patternType="solid">
        <fgColor rgb="FFFFFFFF"/>
        <bgColor rgb="FFF0F4FA"/>
      </patternFill>
    </fill>
    <fill>
      <patternFill patternType="solid">
        <fgColor rgb="FFDCFCE7"/>
        <bgColor rgb="FFF0F4FA"/>
      </patternFill>
    </fill>
    <fill>
      <patternFill patternType="solid">
        <fgColor rgb="FFF0F4FA"/>
        <bgColor rgb="FFFFFFFF"/>
      </patternFill>
    </fill>
    <fill>
      <patternFill patternType="solid">
        <fgColor rgb="FFFEF9C3"/>
        <bgColor rgb="FFFFFF99"/>
      </patternFill>
    </fill>
    <fill>
      <patternFill patternType="solid">
        <fgColor rgb="FFD6E8F7"/>
        <bgColor rgb="FFDCFCE7"/>
      </patternFill>
    </fill>
    <fill>
      <patternFill patternType="solid">
        <fgColor rgb="FF166534"/>
        <bgColor rgb="FF008080"/>
      </patternFill>
    </fill>
    <fill>
      <patternFill patternType="solid">
        <fgColor rgb="FFD4A017"/>
        <bgColor rgb="FFA07A10"/>
      </patternFill>
    </fill>
    <fill>
      <patternFill patternType="solid">
        <fgColor rgb="FFA07A10"/>
        <bgColor rgb="FF7C5A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A07A10"/>
      <rgbColor rgb="FF800080"/>
      <rgbColor rgb="FF008080"/>
      <rgbColor rgb="FFCCCCCC"/>
      <rgbColor rgb="FF808080"/>
      <rgbColor rgb="FF9999FF"/>
      <rgbColor rgb="FF993366"/>
      <rgbColor rgb="FFFEF9C3"/>
      <rgbColor rgb="FFDCFCE7"/>
      <rgbColor rgb="FF660066"/>
      <rgbColor rgb="FFFF8080"/>
      <rgbColor rgb="FF2563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0F4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7280"/>
      <rgbColor rgb="FF969696"/>
      <rgbColor rgb="FF1B3A6B"/>
      <rgbColor rgb="FF339966"/>
      <rgbColor rgb="FF003300"/>
      <rgbColor rgb="FF333300"/>
      <rgbColor rgb="FF7C5A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zoomScale="130" zoomScaleNormal="130" workbookViewId="0">
      <pane ySplit="3" topLeftCell="A28" activePane="bottomLeft" state="frozen"/>
      <selection pane="bottomLeft" activeCell="D76" sqref="D76:E79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2.6640625" bestFit="1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6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9.5" customHeight="1" x14ac:dyDescent="0.2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1.75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2">
      <c r="A4" s="2">
        <v>1</v>
      </c>
      <c r="B4" s="3" t="s">
        <v>13</v>
      </c>
      <c r="C4" s="2" t="s">
        <v>14</v>
      </c>
      <c r="D4" s="4" t="s">
        <v>15</v>
      </c>
      <c r="E4" s="3" t="s">
        <v>16</v>
      </c>
      <c r="F4" s="2" t="s">
        <v>17</v>
      </c>
      <c r="G4" s="4" t="s">
        <v>18</v>
      </c>
      <c r="H4" s="2"/>
      <c r="I4" s="2"/>
      <c r="J4" s="3"/>
      <c r="K4" s="2"/>
    </row>
    <row r="5" spans="1:11" ht="18" customHeight="1" x14ac:dyDescent="0.2">
      <c r="A5" s="5">
        <v>2</v>
      </c>
      <c r="B5" s="6" t="s">
        <v>19</v>
      </c>
      <c r="C5" s="5" t="s">
        <v>20</v>
      </c>
      <c r="D5" s="4" t="s">
        <v>15</v>
      </c>
      <c r="E5" s="6" t="s">
        <v>16</v>
      </c>
      <c r="F5" s="5" t="s">
        <v>21</v>
      </c>
      <c r="G5" s="4" t="s">
        <v>18</v>
      </c>
      <c r="H5" s="5"/>
      <c r="I5" s="5"/>
      <c r="J5" s="6"/>
      <c r="K5" s="5"/>
    </row>
    <row r="6" spans="1:11" ht="18" customHeight="1" x14ac:dyDescent="0.2">
      <c r="A6" s="2">
        <v>3</v>
      </c>
      <c r="B6" s="3" t="s">
        <v>22</v>
      </c>
      <c r="C6" s="2" t="s">
        <v>23</v>
      </c>
      <c r="D6" s="4" t="s">
        <v>15</v>
      </c>
      <c r="E6" s="3" t="s">
        <v>16</v>
      </c>
      <c r="F6" s="2" t="s">
        <v>17</v>
      </c>
      <c r="G6" s="7" t="s">
        <v>24</v>
      </c>
      <c r="H6" s="2"/>
      <c r="I6" s="2"/>
      <c r="J6" s="3"/>
      <c r="K6" s="2"/>
    </row>
    <row r="7" spans="1:11" ht="18" customHeight="1" x14ac:dyDescent="0.2">
      <c r="A7" s="5">
        <v>4</v>
      </c>
      <c r="B7" s="6" t="s">
        <v>25</v>
      </c>
      <c r="C7" s="5" t="s">
        <v>26</v>
      </c>
      <c r="D7" s="4" t="s">
        <v>15</v>
      </c>
      <c r="E7" s="6" t="s">
        <v>16</v>
      </c>
      <c r="F7" s="5" t="s">
        <v>17</v>
      </c>
      <c r="G7" s="7" t="s">
        <v>24</v>
      </c>
      <c r="H7" s="5"/>
      <c r="I7" s="5"/>
      <c r="J7" s="6"/>
      <c r="K7" s="5"/>
    </row>
    <row r="8" spans="1:11" ht="18" customHeight="1" x14ac:dyDescent="0.2">
      <c r="A8" s="2">
        <v>5</v>
      </c>
      <c r="B8" s="3" t="s">
        <v>27</v>
      </c>
      <c r="C8" s="2" t="s">
        <v>28</v>
      </c>
      <c r="D8" s="4" t="s">
        <v>15</v>
      </c>
      <c r="E8" s="3" t="s">
        <v>16</v>
      </c>
      <c r="F8" s="2" t="s">
        <v>17</v>
      </c>
      <c r="G8" s="4" t="s">
        <v>18</v>
      </c>
      <c r="H8" s="2"/>
      <c r="I8" s="2"/>
      <c r="J8" s="3"/>
      <c r="K8" s="2"/>
    </row>
    <row r="9" spans="1:11" ht="18" customHeight="1" x14ac:dyDescent="0.2">
      <c r="A9" s="5">
        <v>6</v>
      </c>
      <c r="B9" s="6" t="s">
        <v>29</v>
      </c>
      <c r="C9" s="5" t="s">
        <v>28</v>
      </c>
      <c r="D9" s="4" t="s">
        <v>15</v>
      </c>
      <c r="E9" s="6" t="s">
        <v>16</v>
      </c>
      <c r="F9" s="5" t="s">
        <v>17</v>
      </c>
      <c r="G9" s="4" t="s">
        <v>18</v>
      </c>
      <c r="H9" s="5"/>
      <c r="I9" s="5"/>
      <c r="J9" s="6"/>
      <c r="K9" s="5"/>
    </row>
    <row r="10" spans="1:11" ht="18" customHeight="1" x14ac:dyDescent="0.2">
      <c r="A10" s="2">
        <v>7</v>
      </c>
      <c r="B10" s="3" t="s">
        <v>30</v>
      </c>
      <c r="C10" s="2" t="s">
        <v>31</v>
      </c>
      <c r="D10" s="4" t="s">
        <v>15</v>
      </c>
      <c r="E10" s="3" t="s">
        <v>16</v>
      </c>
      <c r="F10" s="2" t="s">
        <v>17</v>
      </c>
      <c r="G10" s="4" t="s">
        <v>18</v>
      </c>
      <c r="H10" s="2"/>
      <c r="I10" s="2"/>
      <c r="J10" s="3"/>
      <c r="K10" s="2"/>
    </row>
    <row r="11" spans="1:11" ht="18" customHeight="1" x14ac:dyDescent="0.2">
      <c r="A11" s="5">
        <v>8</v>
      </c>
      <c r="B11" s="6" t="s">
        <v>32</v>
      </c>
      <c r="C11" s="5" t="s">
        <v>33</v>
      </c>
      <c r="D11" s="4" t="s">
        <v>15</v>
      </c>
      <c r="E11" s="6" t="s">
        <v>16</v>
      </c>
      <c r="F11" s="5" t="s">
        <v>17</v>
      </c>
      <c r="G11" s="7" t="s">
        <v>24</v>
      </c>
      <c r="H11" s="5"/>
      <c r="I11" s="5"/>
      <c r="J11" s="6"/>
      <c r="K11" s="5"/>
    </row>
    <row r="12" spans="1:11" ht="18" customHeight="1" x14ac:dyDescent="0.2">
      <c r="A12" s="2">
        <v>9</v>
      </c>
      <c r="B12" s="3" t="s">
        <v>34</v>
      </c>
      <c r="C12" s="2" t="s">
        <v>35</v>
      </c>
      <c r="D12" s="4" t="s">
        <v>15</v>
      </c>
      <c r="E12" s="3" t="s">
        <v>36</v>
      </c>
      <c r="F12" s="2" t="s">
        <v>17</v>
      </c>
      <c r="G12" s="4" t="s">
        <v>18</v>
      </c>
      <c r="H12" s="2"/>
      <c r="I12" s="2"/>
      <c r="J12" s="3"/>
      <c r="K12" s="2"/>
    </row>
    <row r="13" spans="1:11" ht="18" customHeight="1" x14ac:dyDescent="0.2">
      <c r="A13" s="5">
        <v>10</v>
      </c>
      <c r="B13" s="6" t="s">
        <v>37</v>
      </c>
      <c r="C13" s="5" t="s">
        <v>38</v>
      </c>
      <c r="D13" s="4" t="s">
        <v>15</v>
      </c>
      <c r="E13" s="6" t="s">
        <v>36</v>
      </c>
      <c r="F13" s="5" t="s">
        <v>17</v>
      </c>
      <c r="G13" s="4" t="s">
        <v>18</v>
      </c>
      <c r="H13" s="5"/>
      <c r="I13" s="5"/>
      <c r="J13" s="6"/>
      <c r="K13" s="5"/>
    </row>
    <row r="14" spans="1:11" ht="18" customHeight="1" x14ac:dyDescent="0.2">
      <c r="A14" s="2">
        <v>11</v>
      </c>
      <c r="B14" s="3" t="s">
        <v>39</v>
      </c>
      <c r="C14" s="2" t="s">
        <v>40</v>
      </c>
      <c r="D14" s="4" t="s">
        <v>15</v>
      </c>
      <c r="E14" s="3" t="s">
        <v>36</v>
      </c>
      <c r="F14" s="2" t="s">
        <v>17</v>
      </c>
      <c r="G14" s="4" t="s">
        <v>18</v>
      </c>
      <c r="H14" s="2"/>
      <c r="I14" s="2"/>
      <c r="J14" s="3"/>
      <c r="K14" s="2"/>
    </row>
    <row r="15" spans="1:11" ht="18" customHeight="1" x14ac:dyDescent="0.2">
      <c r="A15" s="5">
        <v>12</v>
      </c>
      <c r="B15" s="6" t="s">
        <v>41</v>
      </c>
      <c r="C15" s="5" t="s">
        <v>42</v>
      </c>
      <c r="D15" s="4" t="s">
        <v>15</v>
      </c>
      <c r="E15" s="6" t="s">
        <v>36</v>
      </c>
      <c r="F15" s="5" t="s">
        <v>17</v>
      </c>
      <c r="G15" s="4" t="s">
        <v>18</v>
      </c>
      <c r="H15" s="5"/>
      <c r="I15" s="5"/>
      <c r="J15" s="6"/>
      <c r="K15" s="5"/>
    </row>
    <row r="16" spans="1:11" ht="18" customHeight="1" x14ac:dyDescent="0.2">
      <c r="A16" s="2">
        <v>13</v>
      </c>
      <c r="B16" s="3" t="s">
        <v>43</v>
      </c>
      <c r="C16" s="2" t="s">
        <v>44</v>
      </c>
      <c r="D16" s="4" t="s">
        <v>15</v>
      </c>
      <c r="E16" s="3" t="s">
        <v>36</v>
      </c>
      <c r="F16" s="2" t="s">
        <v>17</v>
      </c>
      <c r="G16" s="4" t="s">
        <v>18</v>
      </c>
      <c r="H16" s="2"/>
      <c r="I16" s="2"/>
      <c r="J16" s="3"/>
      <c r="K16" s="2"/>
    </row>
    <row r="17" spans="1:11" ht="18" customHeight="1" x14ac:dyDescent="0.2">
      <c r="A17" s="5">
        <v>14</v>
      </c>
      <c r="B17" s="6" t="s">
        <v>45</v>
      </c>
      <c r="C17" s="5" t="s">
        <v>46</v>
      </c>
      <c r="D17" s="4" t="s">
        <v>15</v>
      </c>
      <c r="E17" s="6" t="s">
        <v>36</v>
      </c>
      <c r="F17" s="5" t="s">
        <v>17</v>
      </c>
      <c r="G17" s="7" t="s">
        <v>24</v>
      </c>
      <c r="H17" s="5"/>
      <c r="I17" s="5"/>
      <c r="J17" s="6"/>
      <c r="K17" s="5"/>
    </row>
    <row r="18" spans="1:11" ht="18" customHeight="1" x14ac:dyDescent="0.2">
      <c r="A18" s="2">
        <v>15</v>
      </c>
      <c r="B18" s="3" t="s">
        <v>47</v>
      </c>
      <c r="C18" s="2" t="s">
        <v>48</v>
      </c>
      <c r="D18" s="4" t="s">
        <v>15</v>
      </c>
      <c r="E18" s="3" t="s">
        <v>36</v>
      </c>
      <c r="F18" s="2" t="s">
        <v>17</v>
      </c>
      <c r="G18" s="4" t="s">
        <v>18</v>
      </c>
      <c r="H18" s="2"/>
      <c r="I18" s="2"/>
      <c r="J18" s="3"/>
      <c r="K18" s="2"/>
    </row>
    <row r="19" spans="1:11" ht="18" customHeight="1" x14ac:dyDescent="0.2">
      <c r="A19" s="5">
        <v>16</v>
      </c>
      <c r="B19" s="6" t="s">
        <v>49</v>
      </c>
      <c r="C19" s="5" t="s">
        <v>50</v>
      </c>
      <c r="D19" s="4" t="s">
        <v>15</v>
      </c>
      <c r="E19" s="6" t="s">
        <v>36</v>
      </c>
      <c r="F19" s="5" t="s">
        <v>21</v>
      </c>
      <c r="G19" s="4" t="s">
        <v>18</v>
      </c>
      <c r="H19" s="5"/>
      <c r="I19" s="5"/>
      <c r="J19" s="6"/>
      <c r="K19" s="5"/>
    </row>
    <row r="20" spans="1:11" ht="18" customHeight="1" x14ac:dyDescent="0.2">
      <c r="A20" s="2">
        <v>17</v>
      </c>
      <c r="B20" s="3" t="s">
        <v>51</v>
      </c>
      <c r="C20" s="2" t="s">
        <v>52</v>
      </c>
      <c r="D20" s="4" t="s">
        <v>15</v>
      </c>
      <c r="E20" s="3" t="s">
        <v>53</v>
      </c>
      <c r="F20" s="2" t="s">
        <v>54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5">
        <v>18</v>
      </c>
      <c r="B21" s="6" t="s">
        <v>55</v>
      </c>
      <c r="C21" s="5" t="s">
        <v>56</v>
      </c>
      <c r="D21" s="4" t="s">
        <v>15</v>
      </c>
      <c r="E21" s="6" t="s">
        <v>57</v>
      </c>
      <c r="F21" s="5" t="s">
        <v>21</v>
      </c>
      <c r="G21" s="4" t="s">
        <v>18</v>
      </c>
      <c r="H21" s="5"/>
      <c r="I21" s="5"/>
      <c r="J21" s="6"/>
      <c r="K21" s="5"/>
    </row>
    <row r="22" spans="1:11" ht="18" customHeight="1" x14ac:dyDescent="0.2">
      <c r="A22" s="2">
        <v>19</v>
      </c>
      <c r="B22" s="3" t="s">
        <v>58</v>
      </c>
      <c r="C22" s="2" t="s">
        <v>59</v>
      </c>
      <c r="D22" s="4" t="s">
        <v>15</v>
      </c>
      <c r="E22" s="3" t="s">
        <v>57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5">
        <v>20</v>
      </c>
      <c r="B23" s="6" t="s">
        <v>60</v>
      </c>
      <c r="C23" s="5" t="s">
        <v>61</v>
      </c>
      <c r="D23" s="4" t="s">
        <v>15</v>
      </c>
      <c r="E23" s="6" t="s">
        <v>62</v>
      </c>
      <c r="F23" s="5" t="s">
        <v>21</v>
      </c>
      <c r="G23" s="7" t="s">
        <v>24</v>
      </c>
      <c r="H23" s="5"/>
      <c r="I23" s="5"/>
      <c r="J23" s="6"/>
      <c r="K23" s="5"/>
    </row>
    <row r="24" spans="1:11" ht="18" customHeight="1" x14ac:dyDescent="0.2">
      <c r="A24" s="2">
        <v>21</v>
      </c>
      <c r="B24" s="3" t="s">
        <v>63</v>
      </c>
      <c r="C24" s="2" t="s">
        <v>64</v>
      </c>
      <c r="D24" s="4" t="s">
        <v>15</v>
      </c>
      <c r="E24" s="3" t="s">
        <v>57</v>
      </c>
      <c r="F24" s="2" t="s">
        <v>54</v>
      </c>
      <c r="G24" s="4" t="s">
        <v>18</v>
      </c>
      <c r="H24" s="2"/>
      <c r="I24" s="2"/>
      <c r="J24" s="3"/>
      <c r="K24" s="2"/>
    </row>
    <row r="25" spans="1:11" ht="18" customHeight="1" x14ac:dyDescent="0.2">
      <c r="A25" s="5">
        <v>22</v>
      </c>
      <c r="B25" s="6" t="s">
        <v>65</v>
      </c>
      <c r="C25" s="5" t="s">
        <v>66</v>
      </c>
      <c r="D25" s="4" t="s">
        <v>15</v>
      </c>
      <c r="E25" s="6" t="s">
        <v>57</v>
      </c>
      <c r="F25" s="5" t="s">
        <v>17</v>
      </c>
      <c r="G25" s="4" t="s">
        <v>18</v>
      </c>
      <c r="H25" s="5"/>
      <c r="I25" s="5"/>
      <c r="J25" s="6"/>
      <c r="K25" s="5"/>
    </row>
    <row r="26" spans="1:11" ht="18" customHeight="1" x14ac:dyDescent="0.2">
      <c r="A26" s="2">
        <v>23</v>
      </c>
      <c r="B26" s="3" t="s">
        <v>67</v>
      </c>
      <c r="C26" s="2" t="s">
        <v>68</v>
      </c>
      <c r="D26" s="8" t="s">
        <v>69</v>
      </c>
      <c r="E26" s="3" t="s">
        <v>70</v>
      </c>
      <c r="F26" s="2" t="s">
        <v>21</v>
      </c>
      <c r="G26" s="4" t="s">
        <v>18</v>
      </c>
      <c r="H26" s="2"/>
      <c r="I26" s="2"/>
      <c r="J26" s="3"/>
      <c r="K26" s="2"/>
    </row>
    <row r="27" spans="1:11" ht="18" customHeight="1" x14ac:dyDescent="0.2">
      <c r="A27" s="5">
        <v>24</v>
      </c>
      <c r="B27" s="6" t="s">
        <v>71</v>
      </c>
      <c r="C27" s="5" t="s">
        <v>72</v>
      </c>
      <c r="D27" s="8" t="s">
        <v>69</v>
      </c>
      <c r="E27" s="6" t="s">
        <v>70</v>
      </c>
      <c r="F27" s="5" t="s">
        <v>21</v>
      </c>
      <c r="G27" s="4" t="s">
        <v>18</v>
      </c>
      <c r="H27" s="5"/>
      <c r="I27" s="5"/>
      <c r="J27" s="6"/>
      <c r="K27" s="5"/>
    </row>
    <row r="28" spans="1:11" ht="18" customHeight="1" x14ac:dyDescent="0.2">
      <c r="A28" s="2">
        <v>25</v>
      </c>
      <c r="B28" s="3" t="s">
        <v>73</v>
      </c>
      <c r="C28" s="2" t="s">
        <v>74</v>
      </c>
      <c r="D28" s="8" t="s">
        <v>69</v>
      </c>
      <c r="E28" s="3" t="s">
        <v>70</v>
      </c>
      <c r="F28" s="2" t="s">
        <v>21</v>
      </c>
      <c r="G28" s="4" t="s">
        <v>18</v>
      </c>
      <c r="H28" s="2"/>
      <c r="I28" s="2"/>
      <c r="J28" s="3"/>
      <c r="K28" s="2"/>
    </row>
    <row r="29" spans="1:11" ht="18" customHeight="1" x14ac:dyDescent="0.2">
      <c r="A29" s="5">
        <v>26</v>
      </c>
      <c r="B29" s="6" t="s">
        <v>75</v>
      </c>
      <c r="C29" s="5" t="s">
        <v>76</v>
      </c>
      <c r="D29" s="8" t="s">
        <v>69</v>
      </c>
      <c r="E29" s="6" t="s">
        <v>70</v>
      </c>
      <c r="F29" s="5" t="s">
        <v>17</v>
      </c>
      <c r="G29" s="4" t="s">
        <v>18</v>
      </c>
      <c r="H29" s="5"/>
      <c r="I29" s="5"/>
      <c r="J29" s="6"/>
      <c r="K29" s="5"/>
    </row>
    <row r="30" spans="1:11" ht="18" customHeight="1" x14ac:dyDescent="0.2">
      <c r="A30" s="2">
        <v>27</v>
      </c>
      <c r="B30" s="3" t="s">
        <v>77</v>
      </c>
      <c r="C30" s="2" t="s">
        <v>78</v>
      </c>
      <c r="D30" s="8" t="s">
        <v>69</v>
      </c>
      <c r="E30" s="3" t="s">
        <v>70</v>
      </c>
      <c r="F30" s="2" t="s">
        <v>17</v>
      </c>
      <c r="G30" s="4" t="s">
        <v>18</v>
      </c>
      <c r="H30" s="2"/>
      <c r="I30" s="2"/>
      <c r="J30" s="3"/>
      <c r="K30" s="2"/>
    </row>
    <row r="31" spans="1:11" ht="18" customHeight="1" x14ac:dyDescent="0.2">
      <c r="A31" s="5">
        <v>28</v>
      </c>
      <c r="B31" s="6" t="s">
        <v>79</v>
      </c>
      <c r="C31" s="5" t="s">
        <v>80</v>
      </c>
      <c r="D31" s="8" t="s">
        <v>69</v>
      </c>
      <c r="E31" s="6" t="s">
        <v>70</v>
      </c>
      <c r="F31" s="5" t="s">
        <v>21</v>
      </c>
      <c r="G31" s="4" t="s">
        <v>18</v>
      </c>
      <c r="H31" s="5"/>
      <c r="I31" s="5"/>
      <c r="J31" s="6"/>
      <c r="K31" s="5"/>
    </row>
    <row r="32" spans="1:11" ht="18" customHeight="1" x14ac:dyDescent="0.2">
      <c r="A32" s="2">
        <v>29</v>
      </c>
      <c r="B32" s="3" t="s">
        <v>81</v>
      </c>
      <c r="C32" s="2" t="s">
        <v>82</v>
      </c>
      <c r="D32" s="8" t="s">
        <v>69</v>
      </c>
      <c r="E32" s="3" t="s">
        <v>70</v>
      </c>
      <c r="F32" s="2" t="s">
        <v>21</v>
      </c>
      <c r="G32" s="7" t="s">
        <v>24</v>
      </c>
      <c r="H32" s="2"/>
      <c r="I32" s="2"/>
      <c r="J32" s="3"/>
      <c r="K32" s="2"/>
    </row>
    <row r="33" spans="1:11" ht="18" customHeight="1" x14ac:dyDescent="0.2">
      <c r="A33" s="5">
        <v>30</v>
      </c>
      <c r="B33" s="6" t="s">
        <v>83</v>
      </c>
      <c r="C33" s="5" t="s">
        <v>84</v>
      </c>
      <c r="D33" s="8" t="s">
        <v>69</v>
      </c>
      <c r="E33" s="6" t="s">
        <v>70</v>
      </c>
      <c r="F33" s="5" t="s">
        <v>21</v>
      </c>
      <c r="G33" s="4" t="s">
        <v>18</v>
      </c>
      <c r="H33" s="5"/>
      <c r="I33" s="5"/>
      <c r="J33" s="6"/>
      <c r="K33" s="5"/>
    </row>
    <row r="34" spans="1:11" ht="18" customHeight="1" x14ac:dyDescent="0.2">
      <c r="A34" s="2">
        <v>31</v>
      </c>
      <c r="B34" s="3" t="s">
        <v>85</v>
      </c>
      <c r="C34" s="2" t="s">
        <v>86</v>
      </c>
      <c r="D34" s="8" t="s">
        <v>69</v>
      </c>
      <c r="E34" s="3" t="s">
        <v>70</v>
      </c>
      <c r="F34" s="2" t="s">
        <v>54</v>
      </c>
      <c r="G34" s="4" t="s">
        <v>18</v>
      </c>
      <c r="H34" s="2"/>
      <c r="I34" s="2"/>
      <c r="J34" s="3"/>
      <c r="K34" s="2"/>
    </row>
    <row r="35" spans="1:11" ht="18" customHeight="1" x14ac:dyDescent="0.2">
      <c r="A35" s="5">
        <v>32</v>
      </c>
      <c r="B35" s="6" t="s">
        <v>87</v>
      </c>
      <c r="C35" s="5" t="s">
        <v>88</v>
      </c>
      <c r="D35" s="8" t="s">
        <v>69</v>
      </c>
      <c r="E35" s="6" t="s">
        <v>89</v>
      </c>
      <c r="F35" s="5" t="s">
        <v>21</v>
      </c>
      <c r="G35" s="4" t="s">
        <v>18</v>
      </c>
      <c r="H35" s="5"/>
      <c r="I35" s="5"/>
      <c r="J35" s="6"/>
      <c r="K35" s="5"/>
    </row>
    <row r="36" spans="1:11" ht="18" customHeight="1" x14ac:dyDescent="0.2">
      <c r="A36" s="2">
        <v>33</v>
      </c>
      <c r="B36" s="3" t="s">
        <v>90</v>
      </c>
      <c r="C36" s="2" t="s">
        <v>91</v>
      </c>
      <c r="D36" s="8" t="s">
        <v>69</v>
      </c>
      <c r="E36" s="3" t="s">
        <v>89</v>
      </c>
      <c r="F36" s="2" t="s">
        <v>54</v>
      </c>
      <c r="G36" s="4" t="s">
        <v>18</v>
      </c>
      <c r="H36" s="2"/>
      <c r="I36" s="2"/>
      <c r="J36" s="3"/>
      <c r="K36" s="2"/>
    </row>
    <row r="37" spans="1:11" ht="18" customHeight="1" x14ac:dyDescent="0.2">
      <c r="A37" s="5">
        <v>34</v>
      </c>
      <c r="B37" s="6" t="s">
        <v>92</v>
      </c>
      <c r="C37" s="5" t="s">
        <v>93</v>
      </c>
      <c r="D37" s="8" t="s">
        <v>69</v>
      </c>
      <c r="E37" s="6" t="s">
        <v>94</v>
      </c>
      <c r="F37" s="5" t="s">
        <v>17</v>
      </c>
      <c r="G37" s="4" t="s">
        <v>18</v>
      </c>
      <c r="H37" s="5"/>
      <c r="I37" s="5"/>
      <c r="J37" s="6"/>
      <c r="K37" s="5"/>
    </row>
    <row r="38" spans="1:11" ht="18" customHeight="1" x14ac:dyDescent="0.2">
      <c r="A38" s="2">
        <v>35</v>
      </c>
      <c r="B38" s="3" t="s">
        <v>95</v>
      </c>
      <c r="C38" s="2" t="s">
        <v>96</v>
      </c>
      <c r="D38" s="8" t="s">
        <v>69</v>
      </c>
      <c r="E38" s="3" t="s">
        <v>97</v>
      </c>
      <c r="F38" s="2" t="s">
        <v>21</v>
      </c>
      <c r="G38" s="4" t="s">
        <v>18</v>
      </c>
      <c r="H38" s="2"/>
      <c r="I38" s="2"/>
      <c r="J38" s="3"/>
      <c r="K38" s="2"/>
    </row>
    <row r="39" spans="1:11" ht="18" customHeight="1" x14ac:dyDescent="0.2">
      <c r="A39" s="5">
        <v>36</v>
      </c>
      <c r="B39" s="6" t="s">
        <v>98</v>
      </c>
      <c r="C39" s="5" t="s">
        <v>99</v>
      </c>
      <c r="D39" s="8" t="s">
        <v>69</v>
      </c>
      <c r="E39" s="6" t="s">
        <v>97</v>
      </c>
      <c r="F39" s="5" t="s">
        <v>17</v>
      </c>
      <c r="G39" s="4" t="s">
        <v>18</v>
      </c>
      <c r="H39" s="5"/>
      <c r="I39" s="5"/>
      <c r="J39" s="6"/>
      <c r="K39" s="5"/>
    </row>
    <row r="40" spans="1:11" ht="18" customHeight="1" x14ac:dyDescent="0.2">
      <c r="A40" s="2">
        <v>37</v>
      </c>
      <c r="B40" s="3" t="s">
        <v>100</v>
      </c>
      <c r="C40" s="2" t="s">
        <v>101</v>
      </c>
      <c r="D40" s="8" t="s">
        <v>69</v>
      </c>
      <c r="E40" s="3" t="s">
        <v>94</v>
      </c>
      <c r="F40" s="2" t="s">
        <v>21</v>
      </c>
      <c r="G40" s="7" t="s">
        <v>24</v>
      </c>
      <c r="H40" s="2"/>
      <c r="I40" s="2"/>
      <c r="J40" s="3"/>
      <c r="K40" s="2"/>
    </row>
    <row r="41" spans="1:11" ht="18" customHeight="1" x14ac:dyDescent="0.2">
      <c r="A41" s="5">
        <v>38</v>
      </c>
      <c r="B41" s="6" t="s">
        <v>102</v>
      </c>
      <c r="C41" s="5" t="s">
        <v>103</v>
      </c>
      <c r="D41" s="8" t="s">
        <v>69</v>
      </c>
      <c r="E41" s="6" t="s">
        <v>94</v>
      </c>
      <c r="F41" s="5" t="s">
        <v>54</v>
      </c>
      <c r="G41" s="7" t="s">
        <v>24</v>
      </c>
      <c r="H41" s="5"/>
      <c r="I41" s="5"/>
      <c r="J41" s="6"/>
      <c r="K41" s="5"/>
    </row>
    <row r="42" spans="1:11" ht="18" customHeight="1" x14ac:dyDescent="0.2">
      <c r="A42" s="2">
        <v>39</v>
      </c>
      <c r="B42" s="3" t="s">
        <v>104</v>
      </c>
      <c r="C42" s="2" t="s">
        <v>105</v>
      </c>
      <c r="D42" s="8" t="s">
        <v>69</v>
      </c>
      <c r="E42" s="3" t="s">
        <v>94</v>
      </c>
      <c r="F42" s="2" t="s">
        <v>54</v>
      </c>
      <c r="G42" s="7" t="s">
        <v>24</v>
      </c>
      <c r="H42" s="2"/>
      <c r="I42" s="2"/>
      <c r="J42" s="3"/>
      <c r="K42" s="2"/>
    </row>
    <row r="43" spans="1:11" ht="18" customHeight="1" x14ac:dyDescent="0.2">
      <c r="A43" s="5">
        <v>40</v>
      </c>
      <c r="B43" s="6" t="s">
        <v>106</v>
      </c>
      <c r="C43" s="5" t="s">
        <v>107</v>
      </c>
      <c r="D43" s="8" t="s">
        <v>69</v>
      </c>
      <c r="E43" s="6" t="s">
        <v>108</v>
      </c>
      <c r="F43" s="5" t="s">
        <v>54</v>
      </c>
      <c r="G43" s="4" t="s">
        <v>18</v>
      </c>
      <c r="H43" s="5"/>
      <c r="I43" s="5"/>
      <c r="J43" s="6"/>
      <c r="K43" s="5"/>
    </row>
    <row r="44" spans="1:11" ht="18" customHeight="1" x14ac:dyDescent="0.2">
      <c r="A44" s="2">
        <v>41</v>
      </c>
      <c r="B44" s="3" t="s">
        <v>109</v>
      </c>
      <c r="C44" s="2" t="s">
        <v>110</v>
      </c>
      <c r="D44" s="8" t="s">
        <v>69</v>
      </c>
      <c r="E44" s="3" t="s">
        <v>111</v>
      </c>
      <c r="F44" s="2" t="s">
        <v>54</v>
      </c>
      <c r="G44" s="7" t="s">
        <v>24</v>
      </c>
      <c r="H44" s="2"/>
      <c r="I44" s="2"/>
      <c r="J44" s="3"/>
      <c r="K44" s="2"/>
    </row>
    <row r="45" spans="1:11" ht="18" customHeight="1" x14ac:dyDescent="0.2">
      <c r="A45" s="5">
        <v>42</v>
      </c>
      <c r="B45" s="6" t="s">
        <v>112</v>
      </c>
      <c r="C45" s="5" t="s">
        <v>113</v>
      </c>
      <c r="D45" s="8" t="s">
        <v>69</v>
      </c>
      <c r="E45" s="6" t="s">
        <v>111</v>
      </c>
      <c r="F45" s="5" t="s">
        <v>21</v>
      </c>
      <c r="G45" s="7" t="s">
        <v>24</v>
      </c>
      <c r="H45" s="5"/>
      <c r="I45" s="5"/>
      <c r="J45" s="6"/>
      <c r="K45" s="5"/>
    </row>
    <row r="46" spans="1:11" ht="18" customHeight="1" x14ac:dyDescent="0.2">
      <c r="A46" s="2">
        <v>43</v>
      </c>
      <c r="B46" s="3" t="s">
        <v>114</v>
      </c>
      <c r="C46" s="2" t="s">
        <v>115</v>
      </c>
      <c r="D46" s="7" t="s">
        <v>116</v>
      </c>
      <c r="E46" s="3" t="s">
        <v>117</v>
      </c>
      <c r="F46" s="2" t="s">
        <v>54</v>
      </c>
      <c r="G46" s="4" t="s">
        <v>18</v>
      </c>
      <c r="H46" s="2"/>
      <c r="I46" s="2"/>
      <c r="J46" s="3"/>
      <c r="K46" s="2"/>
    </row>
    <row r="47" spans="1:11" ht="18" customHeight="1" x14ac:dyDescent="0.2">
      <c r="A47" s="5">
        <v>44</v>
      </c>
      <c r="B47" s="6" t="s">
        <v>118</v>
      </c>
      <c r="C47" s="5" t="s">
        <v>119</v>
      </c>
      <c r="D47" s="7" t="s">
        <v>116</v>
      </c>
      <c r="E47" s="6" t="s">
        <v>117</v>
      </c>
      <c r="F47" s="5" t="s">
        <v>21</v>
      </c>
      <c r="G47" s="4" t="s">
        <v>18</v>
      </c>
      <c r="H47" s="5"/>
      <c r="I47" s="5"/>
      <c r="J47" s="6"/>
      <c r="K47" s="5"/>
    </row>
    <row r="48" spans="1:11" ht="18" customHeight="1" x14ac:dyDescent="0.2">
      <c r="A48" s="2">
        <v>45</v>
      </c>
      <c r="B48" s="3" t="s">
        <v>120</v>
      </c>
      <c r="C48" s="2" t="s">
        <v>121</v>
      </c>
      <c r="D48" s="7" t="s">
        <v>116</v>
      </c>
      <c r="E48" s="3" t="s">
        <v>117</v>
      </c>
      <c r="F48" s="2" t="s">
        <v>17</v>
      </c>
      <c r="G48" s="4" t="s">
        <v>18</v>
      </c>
      <c r="H48" s="2"/>
      <c r="I48" s="2"/>
      <c r="J48" s="3"/>
      <c r="K48" s="2"/>
    </row>
    <row r="49" spans="1:11" ht="18" customHeight="1" x14ac:dyDescent="0.2">
      <c r="A49" s="5">
        <v>46</v>
      </c>
      <c r="B49" s="6" t="s">
        <v>122</v>
      </c>
      <c r="C49" s="5" t="s">
        <v>123</v>
      </c>
      <c r="D49" s="7" t="s">
        <v>116</v>
      </c>
      <c r="E49" s="6" t="s">
        <v>117</v>
      </c>
      <c r="F49" s="5" t="s">
        <v>21</v>
      </c>
      <c r="G49" s="4" t="s">
        <v>18</v>
      </c>
      <c r="H49" s="5"/>
      <c r="I49" s="5"/>
      <c r="J49" s="6"/>
      <c r="K49" s="5"/>
    </row>
    <row r="50" spans="1:11" ht="18" customHeight="1" x14ac:dyDescent="0.2">
      <c r="A50" s="2">
        <v>47</v>
      </c>
      <c r="B50" s="3" t="s">
        <v>124</v>
      </c>
      <c r="C50" s="2" t="s">
        <v>125</v>
      </c>
      <c r="D50" s="7" t="s">
        <v>116</v>
      </c>
      <c r="E50" s="3" t="s">
        <v>117</v>
      </c>
      <c r="F50" s="2" t="s">
        <v>21</v>
      </c>
      <c r="G50" s="4" t="s">
        <v>18</v>
      </c>
      <c r="H50" s="2"/>
      <c r="I50" s="2"/>
      <c r="J50" s="3"/>
      <c r="K50" s="2"/>
    </row>
    <row r="51" spans="1:11" ht="18" customHeight="1" x14ac:dyDescent="0.2">
      <c r="A51" s="5">
        <v>48</v>
      </c>
      <c r="B51" s="6" t="s">
        <v>126</v>
      </c>
      <c r="C51" s="5" t="s">
        <v>127</v>
      </c>
      <c r="D51" s="7" t="s">
        <v>116</v>
      </c>
      <c r="E51" s="6" t="s">
        <v>117</v>
      </c>
      <c r="F51" s="5" t="s">
        <v>17</v>
      </c>
      <c r="G51" s="4" t="s">
        <v>18</v>
      </c>
      <c r="H51" s="5"/>
      <c r="I51" s="5"/>
      <c r="J51" s="6"/>
      <c r="K51" s="5"/>
    </row>
    <row r="52" spans="1:11" ht="18" customHeight="1" x14ac:dyDescent="0.2">
      <c r="A52" s="2">
        <v>49</v>
      </c>
      <c r="B52" s="3" t="s">
        <v>128</v>
      </c>
      <c r="C52" s="2" t="s">
        <v>129</v>
      </c>
      <c r="D52" s="7" t="s">
        <v>116</v>
      </c>
      <c r="E52" s="3" t="s">
        <v>117</v>
      </c>
      <c r="F52" s="2" t="s">
        <v>17</v>
      </c>
      <c r="G52" s="4" t="s">
        <v>18</v>
      </c>
      <c r="H52" s="2"/>
      <c r="I52" s="2"/>
      <c r="J52" s="3"/>
      <c r="K52" s="2"/>
    </row>
    <row r="53" spans="1:11" ht="18" customHeight="1" x14ac:dyDescent="0.2">
      <c r="A53" s="5">
        <v>50</v>
      </c>
      <c r="B53" s="6" t="s">
        <v>130</v>
      </c>
      <c r="C53" s="5" t="s">
        <v>131</v>
      </c>
      <c r="D53" s="7" t="s">
        <v>116</v>
      </c>
      <c r="E53" s="6" t="s">
        <v>117</v>
      </c>
      <c r="F53" s="5" t="s">
        <v>17</v>
      </c>
      <c r="G53" s="4" t="s">
        <v>18</v>
      </c>
      <c r="H53" s="5"/>
      <c r="I53" s="5"/>
      <c r="J53" s="6"/>
      <c r="K53" s="5"/>
    </row>
    <row r="54" spans="1:11" ht="18" customHeight="1" x14ac:dyDescent="0.2">
      <c r="A54" s="2">
        <v>51</v>
      </c>
      <c r="B54" s="3" t="s">
        <v>132</v>
      </c>
      <c r="C54" s="2" t="s">
        <v>133</v>
      </c>
      <c r="D54" s="7" t="s">
        <v>116</v>
      </c>
      <c r="E54" s="3" t="s">
        <v>117</v>
      </c>
      <c r="F54" s="2" t="s">
        <v>21</v>
      </c>
      <c r="G54" s="7" t="s">
        <v>24</v>
      </c>
      <c r="H54" s="2"/>
      <c r="I54" s="2"/>
      <c r="J54" s="3"/>
      <c r="K54" s="2"/>
    </row>
    <row r="55" spans="1:11" ht="18" customHeight="1" x14ac:dyDescent="0.2">
      <c r="A55" s="5">
        <v>52</v>
      </c>
      <c r="B55" s="6" t="s">
        <v>134</v>
      </c>
      <c r="C55" s="5" t="s">
        <v>135</v>
      </c>
      <c r="D55" s="7" t="s">
        <v>116</v>
      </c>
      <c r="E55" s="6" t="s">
        <v>117</v>
      </c>
      <c r="F55" s="5" t="s">
        <v>21</v>
      </c>
      <c r="G55" s="4" t="s">
        <v>18</v>
      </c>
      <c r="H55" s="5"/>
      <c r="I55" s="5"/>
      <c r="J55" s="6"/>
      <c r="K55" s="5"/>
    </row>
    <row r="56" spans="1:11" ht="18" customHeight="1" x14ac:dyDescent="0.2">
      <c r="A56" s="2">
        <v>53</v>
      </c>
      <c r="B56" s="3" t="s">
        <v>136</v>
      </c>
      <c r="C56" s="2" t="s">
        <v>137</v>
      </c>
      <c r="D56" s="7" t="s">
        <v>116</v>
      </c>
      <c r="E56" s="3" t="s">
        <v>117</v>
      </c>
      <c r="F56" s="2" t="s">
        <v>17</v>
      </c>
      <c r="G56" s="4" t="s">
        <v>18</v>
      </c>
      <c r="H56" s="2"/>
      <c r="I56" s="2"/>
      <c r="J56" s="3"/>
      <c r="K56" s="2"/>
    </row>
    <row r="57" spans="1:11" ht="18" customHeight="1" x14ac:dyDescent="0.2">
      <c r="A57" s="5">
        <v>54</v>
      </c>
      <c r="B57" s="6" t="s">
        <v>138</v>
      </c>
      <c r="C57" s="5" t="s">
        <v>139</v>
      </c>
      <c r="D57" s="7" t="s">
        <v>116</v>
      </c>
      <c r="E57" s="6" t="s">
        <v>140</v>
      </c>
      <c r="F57" s="5" t="s">
        <v>21</v>
      </c>
      <c r="G57" s="4" t="s">
        <v>18</v>
      </c>
      <c r="H57" s="5"/>
      <c r="I57" s="5"/>
      <c r="J57" s="6"/>
      <c r="K57" s="5"/>
    </row>
    <row r="58" spans="1:11" ht="18" customHeight="1" x14ac:dyDescent="0.2">
      <c r="A58" s="2">
        <v>55</v>
      </c>
      <c r="B58" s="3" t="s">
        <v>141</v>
      </c>
      <c r="C58" s="2" t="s">
        <v>142</v>
      </c>
      <c r="D58" s="7" t="s">
        <v>116</v>
      </c>
      <c r="E58" s="3" t="s">
        <v>143</v>
      </c>
      <c r="F58" s="2" t="s">
        <v>54</v>
      </c>
      <c r="G58" s="4" t="s">
        <v>18</v>
      </c>
      <c r="H58" s="2"/>
      <c r="I58" s="2"/>
      <c r="J58" s="3"/>
      <c r="K58" s="2"/>
    </row>
    <row r="59" spans="1:11" ht="18" customHeight="1" x14ac:dyDescent="0.2">
      <c r="A59" s="5">
        <v>56</v>
      </c>
      <c r="B59" s="6" t="s">
        <v>144</v>
      </c>
      <c r="C59" s="5" t="s">
        <v>145</v>
      </c>
      <c r="D59" s="7" t="s">
        <v>116</v>
      </c>
      <c r="E59" s="6" t="s">
        <v>146</v>
      </c>
      <c r="F59" s="5" t="s">
        <v>21</v>
      </c>
      <c r="G59" s="4" t="s">
        <v>18</v>
      </c>
      <c r="H59" s="5"/>
      <c r="I59" s="5"/>
      <c r="J59" s="6"/>
      <c r="K59" s="5"/>
    </row>
    <row r="60" spans="1:11" ht="18" customHeight="1" x14ac:dyDescent="0.2">
      <c r="A60" s="2">
        <v>57</v>
      </c>
      <c r="B60" s="3" t="s">
        <v>147</v>
      </c>
      <c r="C60" s="2" t="s">
        <v>148</v>
      </c>
      <c r="D60" s="7" t="s">
        <v>116</v>
      </c>
      <c r="E60" s="3" t="s">
        <v>146</v>
      </c>
      <c r="F60" s="2" t="s">
        <v>17</v>
      </c>
      <c r="G60" s="4" t="s">
        <v>18</v>
      </c>
      <c r="H60" s="2"/>
      <c r="I60" s="2"/>
      <c r="J60" s="3"/>
      <c r="K60" s="2"/>
    </row>
    <row r="61" spans="1:11" ht="18" customHeight="1" x14ac:dyDescent="0.2">
      <c r="A61" s="5">
        <v>58</v>
      </c>
      <c r="B61" s="6" t="s">
        <v>149</v>
      </c>
      <c r="C61" s="5" t="s">
        <v>150</v>
      </c>
      <c r="D61" s="7" t="s">
        <v>116</v>
      </c>
      <c r="E61" s="6" t="s">
        <v>143</v>
      </c>
      <c r="F61" s="5" t="s">
        <v>54</v>
      </c>
      <c r="G61" s="4" t="s">
        <v>18</v>
      </c>
      <c r="H61" s="5"/>
      <c r="I61" s="5"/>
      <c r="J61" s="6"/>
      <c r="K61" s="5"/>
    </row>
    <row r="62" spans="1:11" ht="18" customHeight="1" x14ac:dyDescent="0.2">
      <c r="A62" s="2">
        <v>59</v>
      </c>
      <c r="B62" s="3" t="s">
        <v>151</v>
      </c>
      <c r="C62" s="2" t="s">
        <v>152</v>
      </c>
      <c r="D62" s="7" t="s">
        <v>116</v>
      </c>
      <c r="E62" s="3" t="s">
        <v>143</v>
      </c>
      <c r="F62" s="2" t="s">
        <v>21</v>
      </c>
      <c r="G62" s="7" t="s">
        <v>24</v>
      </c>
      <c r="H62" s="2"/>
      <c r="I62" s="2"/>
      <c r="J62" s="3"/>
      <c r="K62" s="2"/>
    </row>
    <row r="63" spans="1:11" ht="18" customHeight="1" x14ac:dyDescent="0.2">
      <c r="A63" s="5">
        <v>60</v>
      </c>
      <c r="B63" s="6" t="s">
        <v>153</v>
      </c>
      <c r="C63" s="5" t="s">
        <v>154</v>
      </c>
      <c r="D63" s="7" t="s">
        <v>116</v>
      </c>
      <c r="E63" s="6" t="s">
        <v>146</v>
      </c>
      <c r="F63" s="5" t="s">
        <v>54</v>
      </c>
      <c r="G63" s="4" t="s">
        <v>18</v>
      </c>
      <c r="H63" s="5"/>
      <c r="I63" s="5"/>
      <c r="J63" s="6"/>
      <c r="K63" s="5"/>
    </row>
    <row r="64" spans="1:11" ht="18" customHeight="1" x14ac:dyDescent="0.2">
      <c r="A64" s="2">
        <v>61</v>
      </c>
      <c r="B64" s="3" t="s">
        <v>155</v>
      </c>
      <c r="C64" s="2" t="s">
        <v>156</v>
      </c>
      <c r="D64" s="7" t="s">
        <v>116</v>
      </c>
      <c r="E64" s="3" t="s">
        <v>143</v>
      </c>
      <c r="F64" s="2" t="s">
        <v>54</v>
      </c>
      <c r="G64" s="7" t="s">
        <v>24</v>
      </c>
      <c r="H64" s="2"/>
      <c r="I64" s="2"/>
      <c r="J64" s="3"/>
      <c r="K64" s="2"/>
    </row>
    <row r="65" spans="1:13" ht="18" customHeight="1" x14ac:dyDescent="0.2">
      <c r="A65" s="5">
        <v>62</v>
      </c>
      <c r="B65" s="6" t="s">
        <v>157</v>
      </c>
      <c r="C65" s="5" t="s">
        <v>158</v>
      </c>
      <c r="D65" s="7" t="s">
        <v>116</v>
      </c>
      <c r="E65" s="6" t="s">
        <v>159</v>
      </c>
      <c r="F65" s="5" t="s">
        <v>17</v>
      </c>
      <c r="G65" s="4" t="s">
        <v>18</v>
      </c>
      <c r="H65" s="5"/>
      <c r="I65" s="5"/>
      <c r="J65" s="6"/>
      <c r="K65" s="5"/>
    </row>
    <row r="66" spans="1:13" ht="18" customHeight="1" x14ac:dyDescent="0.2">
      <c r="A66" s="2">
        <v>63</v>
      </c>
      <c r="B66" s="3" t="s">
        <v>160</v>
      </c>
      <c r="C66" s="2" t="s">
        <v>161</v>
      </c>
      <c r="D66" s="7" t="s">
        <v>116</v>
      </c>
      <c r="E66" s="3" t="s">
        <v>159</v>
      </c>
      <c r="F66" s="2" t="s">
        <v>54</v>
      </c>
      <c r="G66" s="4" t="s">
        <v>18</v>
      </c>
      <c r="H66" s="2"/>
      <c r="I66" s="2"/>
      <c r="J66" s="3"/>
      <c r="K66" s="2"/>
    </row>
    <row r="67" spans="1:13" ht="18" customHeight="1" x14ac:dyDescent="0.2">
      <c r="A67" s="5">
        <v>64</v>
      </c>
      <c r="B67" s="6" t="s">
        <v>162</v>
      </c>
      <c r="C67" s="5" t="s">
        <v>163</v>
      </c>
      <c r="D67" s="7" t="s">
        <v>116</v>
      </c>
      <c r="E67" s="6" t="s">
        <v>159</v>
      </c>
      <c r="F67" s="5" t="s">
        <v>54</v>
      </c>
      <c r="G67" s="4" t="s">
        <v>18</v>
      </c>
      <c r="H67" s="5"/>
      <c r="I67" s="5"/>
      <c r="J67" s="6"/>
      <c r="K67" s="5"/>
    </row>
    <row r="68" spans="1:13" ht="18" customHeight="1" x14ac:dyDescent="0.2">
      <c r="A68" s="2">
        <v>65</v>
      </c>
      <c r="B68" s="3" t="s">
        <v>164</v>
      </c>
      <c r="C68" s="2" t="s">
        <v>165</v>
      </c>
      <c r="D68" s="7" t="s">
        <v>116</v>
      </c>
      <c r="E68" s="3" t="s">
        <v>159</v>
      </c>
      <c r="F68" s="2" t="s">
        <v>54</v>
      </c>
      <c r="G68" s="7" t="s">
        <v>24</v>
      </c>
      <c r="H68" s="2"/>
      <c r="I68" s="2"/>
      <c r="J68" s="3"/>
      <c r="K68" s="2"/>
    </row>
    <row r="69" spans="1:13" ht="18" customHeight="1" x14ac:dyDescent="0.2">
      <c r="A69" s="5">
        <v>66</v>
      </c>
      <c r="B69" s="6" t="s">
        <v>166</v>
      </c>
      <c r="C69" s="5" t="s">
        <v>167</v>
      </c>
      <c r="D69" s="7" t="s">
        <v>116</v>
      </c>
      <c r="E69" s="6" t="s">
        <v>159</v>
      </c>
      <c r="F69" s="5" t="s">
        <v>17</v>
      </c>
      <c r="G69" s="4" t="s">
        <v>18</v>
      </c>
      <c r="H69" s="5"/>
      <c r="I69" s="5"/>
      <c r="J69" s="6"/>
      <c r="K69" s="5"/>
    </row>
    <row r="71" spans="1:13" ht="21.75" customHeight="1" x14ac:dyDescent="0.2">
      <c r="A71" s="21" t="s">
        <v>168</v>
      </c>
      <c r="B71" s="21"/>
      <c r="C71" s="21"/>
      <c r="D71" s="9" t="s">
        <v>169</v>
      </c>
      <c r="E71" s="10">
        <f>COUNTA(B4:B69)</f>
        <v>66</v>
      </c>
      <c r="F71" s="9" t="s">
        <v>15</v>
      </c>
      <c r="G71" s="10">
        <f>COUNTIF(D4:D69,"Healthcare")</f>
        <v>22</v>
      </c>
      <c r="H71" s="9" t="s">
        <v>170</v>
      </c>
      <c r="I71" s="10">
        <f>COUNTIF(D4:D69,"Law Firm")</f>
        <v>20</v>
      </c>
      <c r="J71" s="9" t="s">
        <v>116</v>
      </c>
      <c r="K71" s="10">
        <f>COUNTIF(D4:D69,"Construction / Contracting")</f>
        <v>24</v>
      </c>
      <c r="L71" s="9" t="s">
        <v>171</v>
      </c>
      <c r="M71" s="10">
        <f>COUNTIF(G4:G69,"High")</f>
        <v>49</v>
      </c>
    </row>
    <row r="73" spans="1:13" ht="15" customHeight="1" x14ac:dyDescent="0.2">
      <c r="A73" s="22" t="s">
        <v>172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</sheetData>
  <mergeCells count="4">
    <mergeCell ref="A1:K1"/>
    <mergeCell ref="A2:K2"/>
    <mergeCell ref="A71:C71"/>
    <mergeCell ref="A73:K7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abSelected="1" zoomScale="150" zoomScaleNormal="150" workbookViewId="0">
      <pane ySplit="3" topLeftCell="A4" activePane="bottomLeft" state="frozen"/>
      <selection pane="bottomLeft" activeCell="B24" sqref="B24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23" t="s">
        <v>173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8" customHeight="1" x14ac:dyDescent="0.2">
      <c r="A2" s="24" t="s">
        <v>174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21.75" customHeight="1" x14ac:dyDescent="0.2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</row>
    <row r="4" spans="1:11" ht="18" customHeight="1" x14ac:dyDescent="0.2">
      <c r="A4" s="2">
        <v>1</v>
      </c>
      <c r="B4" s="3" t="s">
        <v>13</v>
      </c>
      <c r="C4" s="2" t="s">
        <v>14</v>
      </c>
      <c r="D4" s="2" t="s">
        <v>15</v>
      </c>
      <c r="E4" s="3" t="s">
        <v>16</v>
      </c>
      <c r="F4" s="2" t="s">
        <v>17</v>
      </c>
      <c r="G4" s="4" t="s">
        <v>18</v>
      </c>
      <c r="H4" s="2"/>
      <c r="I4" s="2"/>
      <c r="J4" s="3" t="s">
        <v>179</v>
      </c>
      <c r="K4" s="2"/>
    </row>
    <row r="5" spans="1:11" ht="18" customHeight="1" x14ac:dyDescent="0.2">
      <c r="A5" s="12">
        <v>2</v>
      </c>
      <c r="B5" s="13" t="s">
        <v>19</v>
      </c>
      <c r="C5" s="12" t="s">
        <v>20</v>
      </c>
      <c r="D5" s="12" t="s">
        <v>15</v>
      </c>
      <c r="E5" s="13" t="s">
        <v>16</v>
      </c>
      <c r="F5" s="12" t="s">
        <v>21</v>
      </c>
      <c r="G5" s="4" t="s">
        <v>18</v>
      </c>
      <c r="H5" s="12"/>
      <c r="I5" s="12"/>
      <c r="J5" s="13"/>
      <c r="K5" s="12"/>
    </row>
    <row r="6" spans="1:11" ht="18" customHeight="1" x14ac:dyDescent="0.2">
      <c r="A6" s="2">
        <v>3</v>
      </c>
      <c r="B6" s="3" t="s">
        <v>22</v>
      </c>
      <c r="C6" s="2" t="s">
        <v>23</v>
      </c>
      <c r="D6" s="2" t="s">
        <v>15</v>
      </c>
      <c r="E6" s="3" t="s">
        <v>16</v>
      </c>
      <c r="F6" s="2" t="s">
        <v>17</v>
      </c>
      <c r="G6" s="7" t="s">
        <v>24</v>
      </c>
      <c r="H6" s="2"/>
      <c r="I6" s="2"/>
      <c r="J6" s="3"/>
      <c r="K6" s="2"/>
    </row>
    <row r="7" spans="1:11" ht="18" customHeight="1" x14ac:dyDescent="0.2">
      <c r="A7" s="12">
        <v>4</v>
      </c>
      <c r="B7" s="13" t="s">
        <v>25</v>
      </c>
      <c r="C7" s="12" t="s">
        <v>26</v>
      </c>
      <c r="D7" s="12" t="s">
        <v>15</v>
      </c>
      <c r="E7" s="13" t="s">
        <v>16</v>
      </c>
      <c r="F7" s="12" t="s">
        <v>17</v>
      </c>
      <c r="G7" s="7" t="s">
        <v>24</v>
      </c>
      <c r="H7" s="12"/>
      <c r="I7" s="12"/>
      <c r="J7" s="13"/>
      <c r="K7" s="12"/>
    </row>
    <row r="8" spans="1:11" ht="18" customHeight="1" x14ac:dyDescent="0.2">
      <c r="A8" s="2">
        <v>5</v>
      </c>
      <c r="B8" s="3" t="s">
        <v>27</v>
      </c>
      <c r="C8" s="2" t="s">
        <v>28</v>
      </c>
      <c r="D8" s="2" t="s">
        <v>15</v>
      </c>
      <c r="E8" s="3" t="s">
        <v>16</v>
      </c>
      <c r="F8" s="2" t="s">
        <v>17</v>
      </c>
      <c r="G8" s="4" t="s">
        <v>18</v>
      </c>
      <c r="H8" s="2"/>
      <c r="I8" s="2"/>
      <c r="J8" s="3"/>
      <c r="K8" s="2"/>
    </row>
    <row r="9" spans="1:11" ht="18" customHeight="1" x14ac:dyDescent="0.2">
      <c r="A9" s="12">
        <v>6</v>
      </c>
      <c r="B9" s="13" t="s">
        <v>29</v>
      </c>
      <c r="C9" s="12" t="s">
        <v>28</v>
      </c>
      <c r="D9" s="12" t="s">
        <v>15</v>
      </c>
      <c r="E9" s="13" t="s">
        <v>16</v>
      </c>
      <c r="F9" s="12" t="s">
        <v>17</v>
      </c>
      <c r="G9" s="4" t="s">
        <v>18</v>
      </c>
      <c r="H9" s="12"/>
      <c r="I9" s="12"/>
      <c r="J9" s="13"/>
      <c r="K9" s="12"/>
    </row>
    <row r="10" spans="1:11" ht="18" customHeight="1" x14ac:dyDescent="0.2">
      <c r="A10" s="2">
        <v>7</v>
      </c>
      <c r="B10" s="3" t="s">
        <v>30</v>
      </c>
      <c r="C10" s="2" t="s">
        <v>31</v>
      </c>
      <c r="D10" s="2" t="s">
        <v>15</v>
      </c>
      <c r="E10" s="3" t="s">
        <v>16</v>
      </c>
      <c r="F10" s="2" t="s">
        <v>17</v>
      </c>
      <c r="G10" s="4" t="s">
        <v>18</v>
      </c>
      <c r="H10" s="2"/>
      <c r="I10" s="2"/>
      <c r="J10" s="3"/>
      <c r="K10" s="2"/>
    </row>
    <row r="11" spans="1:11" ht="18" customHeight="1" x14ac:dyDescent="0.2">
      <c r="A11" s="12">
        <v>8</v>
      </c>
      <c r="B11" s="13" t="s">
        <v>32</v>
      </c>
      <c r="C11" s="12" t="s">
        <v>33</v>
      </c>
      <c r="D11" s="12" t="s">
        <v>15</v>
      </c>
      <c r="E11" s="13" t="s">
        <v>16</v>
      </c>
      <c r="F11" s="12" t="s">
        <v>17</v>
      </c>
      <c r="G11" s="7" t="s">
        <v>24</v>
      </c>
      <c r="H11" s="12"/>
      <c r="I11" s="12"/>
      <c r="J11" s="13"/>
      <c r="K11" s="12"/>
    </row>
    <row r="12" spans="1:11" ht="18" customHeight="1" x14ac:dyDescent="0.2">
      <c r="A12" s="2">
        <v>9</v>
      </c>
      <c r="B12" s="3" t="s">
        <v>34</v>
      </c>
      <c r="C12" s="2" t="s">
        <v>35</v>
      </c>
      <c r="D12" s="2" t="s">
        <v>15</v>
      </c>
      <c r="E12" s="3" t="s">
        <v>36</v>
      </c>
      <c r="F12" s="2" t="s">
        <v>17</v>
      </c>
      <c r="G12" s="4" t="s">
        <v>18</v>
      </c>
      <c r="H12" s="2"/>
      <c r="I12" s="2"/>
      <c r="J12" s="3"/>
      <c r="K12" s="2"/>
    </row>
    <row r="13" spans="1:11" ht="18" customHeight="1" x14ac:dyDescent="0.2">
      <c r="A13" s="12">
        <v>10</v>
      </c>
      <c r="B13" s="13" t="s">
        <v>37</v>
      </c>
      <c r="C13" s="12" t="s">
        <v>38</v>
      </c>
      <c r="D13" s="12" t="s">
        <v>15</v>
      </c>
      <c r="E13" s="13" t="s">
        <v>36</v>
      </c>
      <c r="F13" s="12" t="s">
        <v>17</v>
      </c>
      <c r="G13" s="4" t="s">
        <v>18</v>
      </c>
      <c r="H13" s="12"/>
      <c r="I13" s="12"/>
      <c r="J13" s="13"/>
      <c r="K13" s="12"/>
    </row>
    <row r="14" spans="1:11" ht="18" customHeight="1" x14ac:dyDescent="0.2">
      <c r="A14" s="2">
        <v>11</v>
      </c>
      <c r="B14" s="3" t="s">
        <v>39</v>
      </c>
      <c r="C14" s="2" t="s">
        <v>40</v>
      </c>
      <c r="D14" s="2" t="s">
        <v>15</v>
      </c>
      <c r="E14" s="3" t="s">
        <v>36</v>
      </c>
      <c r="F14" s="2" t="s">
        <v>17</v>
      </c>
      <c r="G14" s="4" t="s">
        <v>18</v>
      </c>
      <c r="H14" s="2"/>
      <c r="I14" s="2"/>
      <c r="J14" s="3"/>
      <c r="K14" s="2"/>
    </row>
    <row r="15" spans="1:11" ht="18" customHeight="1" x14ac:dyDescent="0.2">
      <c r="A15" s="12">
        <v>12</v>
      </c>
      <c r="B15" s="13" t="s">
        <v>41</v>
      </c>
      <c r="C15" s="12" t="s">
        <v>42</v>
      </c>
      <c r="D15" s="12" t="s">
        <v>15</v>
      </c>
      <c r="E15" s="13" t="s">
        <v>36</v>
      </c>
      <c r="F15" s="12" t="s">
        <v>17</v>
      </c>
      <c r="G15" s="4" t="s">
        <v>18</v>
      </c>
      <c r="H15" s="12"/>
      <c r="I15" s="12"/>
      <c r="J15" s="13"/>
      <c r="K15" s="12"/>
    </row>
    <row r="16" spans="1:11" ht="18" customHeight="1" x14ac:dyDescent="0.2">
      <c r="A16" s="2">
        <v>13</v>
      </c>
      <c r="B16" s="3" t="s">
        <v>43</v>
      </c>
      <c r="C16" s="2" t="s">
        <v>44</v>
      </c>
      <c r="D16" s="2" t="s">
        <v>15</v>
      </c>
      <c r="E16" s="3" t="s">
        <v>36</v>
      </c>
      <c r="F16" s="2" t="s">
        <v>17</v>
      </c>
      <c r="G16" s="4" t="s">
        <v>18</v>
      </c>
      <c r="H16" s="2"/>
      <c r="I16" s="2"/>
      <c r="J16" s="3"/>
      <c r="K16" s="2"/>
    </row>
    <row r="17" spans="1:11" ht="18" customHeight="1" x14ac:dyDescent="0.2">
      <c r="A17" s="12">
        <v>14</v>
      </c>
      <c r="B17" s="13" t="s">
        <v>45</v>
      </c>
      <c r="C17" s="12" t="s">
        <v>46</v>
      </c>
      <c r="D17" s="12" t="s">
        <v>15</v>
      </c>
      <c r="E17" s="13" t="s">
        <v>36</v>
      </c>
      <c r="F17" s="12" t="s">
        <v>17</v>
      </c>
      <c r="G17" s="7" t="s">
        <v>24</v>
      </c>
      <c r="H17" s="12"/>
      <c r="I17" s="12"/>
      <c r="J17" s="13"/>
      <c r="K17" s="12"/>
    </row>
    <row r="18" spans="1:11" ht="18" customHeight="1" x14ac:dyDescent="0.2">
      <c r="A18" s="2">
        <v>15</v>
      </c>
      <c r="B18" s="3" t="s">
        <v>47</v>
      </c>
      <c r="C18" s="2" t="s">
        <v>48</v>
      </c>
      <c r="D18" s="2" t="s">
        <v>15</v>
      </c>
      <c r="E18" s="3" t="s">
        <v>36</v>
      </c>
      <c r="F18" s="2" t="s">
        <v>17</v>
      </c>
      <c r="G18" s="4" t="s">
        <v>18</v>
      </c>
      <c r="H18" s="2"/>
      <c r="I18" s="2"/>
      <c r="J18" s="3"/>
      <c r="K18" s="2"/>
    </row>
    <row r="19" spans="1:11" ht="18" customHeight="1" x14ac:dyDescent="0.2">
      <c r="A19" s="12">
        <v>16</v>
      </c>
      <c r="B19" s="13" t="s">
        <v>49</v>
      </c>
      <c r="C19" s="12" t="s">
        <v>50</v>
      </c>
      <c r="D19" s="12" t="s">
        <v>15</v>
      </c>
      <c r="E19" s="13" t="s">
        <v>36</v>
      </c>
      <c r="F19" s="12" t="s">
        <v>21</v>
      </c>
      <c r="G19" s="4" t="s">
        <v>18</v>
      </c>
      <c r="H19" s="12"/>
      <c r="I19" s="12"/>
      <c r="J19" s="13"/>
      <c r="K19" s="12"/>
    </row>
    <row r="20" spans="1:11" ht="18" customHeight="1" x14ac:dyDescent="0.2">
      <c r="A20" s="2">
        <v>17</v>
      </c>
      <c r="B20" s="3" t="s">
        <v>51</v>
      </c>
      <c r="C20" s="2" t="s">
        <v>52</v>
      </c>
      <c r="D20" s="2" t="s">
        <v>15</v>
      </c>
      <c r="E20" s="3" t="s">
        <v>53</v>
      </c>
      <c r="F20" s="2" t="s">
        <v>54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12">
        <v>18</v>
      </c>
      <c r="B21" s="13" t="s">
        <v>55</v>
      </c>
      <c r="C21" s="12" t="s">
        <v>56</v>
      </c>
      <c r="D21" s="12" t="s">
        <v>15</v>
      </c>
      <c r="E21" s="13" t="s">
        <v>57</v>
      </c>
      <c r="F21" s="12" t="s">
        <v>21</v>
      </c>
      <c r="G21" s="4" t="s">
        <v>18</v>
      </c>
      <c r="H21" s="12"/>
      <c r="I21" s="12"/>
      <c r="J21" s="13"/>
      <c r="K21" s="12"/>
    </row>
    <row r="22" spans="1:11" ht="18" customHeight="1" x14ac:dyDescent="0.2">
      <c r="A22" s="2">
        <v>19</v>
      </c>
      <c r="B22" s="3" t="s">
        <v>58</v>
      </c>
      <c r="C22" s="2" t="s">
        <v>59</v>
      </c>
      <c r="D22" s="2" t="s">
        <v>15</v>
      </c>
      <c r="E22" s="3" t="s">
        <v>57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12">
        <v>20</v>
      </c>
      <c r="B23" s="13" t="s">
        <v>60</v>
      </c>
      <c r="C23" s="12" t="s">
        <v>61</v>
      </c>
      <c r="D23" s="12" t="s">
        <v>15</v>
      </c>
      <c r="E23" s="13" t="s">
        <v>62</v>
      </c>
      <c r="F23" s="12" t="s">
        <v>21</v>
      </c>
      <c r="G23" s="7" t="s">
        <v>24</v>
      </c>
      <c r="H23" s="12"/>
      <c r="I23" s="12"/>
      <c r="J23" s="13"/>
      <c r="K23" s="12"/>
    </row>
    <row r="24" spans="1:11" ht="18" customHeight="1" x14ac:dyDescent="0.2">
      <c r="A24" s="2">
        <v>21</v>
      </c>
      <c r="B24" s="3" t="s">
        <v>63</v>
      </c>
      <c r="C24" s="2" t="s">
        <v>64</v>
      </c>
      <c r="D24" s="2" t="s">
        <v>15</v>
      </c>
      <c r="E24" s="3" t="s">
        <v>57</v>
      </c>
      <c r="F24" s="2" t="s">
        <v>54</v>
      </c>
      <c r="G24" s="4" t="s">
        <v>18</v>
      </c>
      <c r="H24" s="2"/>
      <c r="I24" s="2"/>
      <c r="J24" s="3"/>
      <c r="K24" s="2"/>
    </row>
    <row r="25" spans="1:11" ht="18" customHeight="1" x14ac:dyDescent="0.2">
      <c r="A25" s="12">
        <v>22</v>
      </c>
      <c r="B25" s="13" t="s">
        <v>65</v>
      </c>
      <c r="C25" s="12" t="s">
        <v>66</v>
      </c>
      <c r="D25" s="12" t="s">
        <v>15</v>
      </c>
      <c r="E25" s="13" t="s">
        <v>57</v>
      </c>
      <c r="F25" s="12" t="s">
        <v>17</v>
      </c>
      <c r="G25" s="4" t="s">
        <v>18</v>
      </c>
      <c r="H25" s="12"/>
      <c r="I25" s="12"/>
      <c r="J25" s="13"/>
      <c r="K25" s="12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="160" zoomScaleNormal="160" workbookViewId="0">
      <pane ySplit="3" topLeftCell="A4" activePane="bottomLeft" state="frozen"/>
      <selection pane="bottomLeft" activeCell="B5" sqref="B5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25" t="s">
        <v>175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8" customHeight="1" x14ac:dyDescent="0.2">
      <c r="A2" s="26" t="s">
        <v>176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21.75" customHeight="1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</row>
    <row r="4" spans="1:11" ht="18" customHeight="1" x14ac:dyDescent="0.2">
      <c r="A4" s="2">
        <v>23</v>
      </c>
      <c r="B4" s="3" t="s">
        <v>67</v>
      </c>
      <c r="C4" s="2" t="s">
        <v>68</v>
      </c>
      <c r="D4" s="2" t="s">
        <v>69</v>
      </c>
      <c r="E4" s="3" t="s">
        <v>70</v>
      </c>
      <c r="F4" s="2" t="s">
        <v>21</v>
      </c>
      <c r="G4" s="4" t="s">
        <v>18</v>
      </c>
      <c r="H4" s="2"/>
      <c r="I4" s="2"/>
      <c r="J4" s="3"/>
      <c r="K4" s="2"/>
    </row>
    <row r="5" spans="1:11" ht="18" customHeight="1" x14ac:dyDescent="0.2">
      <c r="A5" s="14">
        <v>24</v>
      </c>
      <c r="B5" s="15" t="s">
        <v>71</v>
      </c>
      <c r="C5" s="14" t="s">
        <v>72</v>
      </c>
      <c r="D5" s="14" t="s">
        <v>69</v>
      </c>
      <c r="E5" s="15" t="s">
        <v>70</v>
      </c>
      <c r="F5" s="14" t="s">
        <v>21</v>
      </c>
      <c r="G5" s="4" t="s">
        <v>18</v>
      </c>
      <c r="H5" s="14"/>
      <c r="I5" s="14"/>
      <c r="J5" s="15"/>
      <c r="K5" s="14"/>
    </row>
    <row r="6" spans="1:11" ht="18" customHeight="1" x14ac:dyDescent="0.2">
      <c r="A6" s="2">
        <v>25</v>
      </c>
      <c r="B6" s="3" t="s">
        <v>73</v>
      </c>
      <c r="C6" s="2" t="s">
        <v>74</v>
      </c>
      <c r="D6" s="2" t="s">
        <v>69</v>
      </c>
      <c r="E6" s="3" t="s">
        <v>70</v>
      </c>
      <c r="F6" s="2" t="s">
        <v>21</v>
      </c>
      <c r="G6" s="4" t="s">
        <v>18</v>
      </c>
      <c r="H6" s="2"/>
      <c r="I6" s="2"/>
      <c r="J6" s="3"/>
      <c r="K6" s="2"/>
    </row>
    <row r="7" spans="1:11" ht="18" customHeight="1" x14ac:dyDescent="0.2">
      <c r="A7" s="14">
        <v>26</v>
      </c>
      <c r="B7" s="15" t="s">
        <v>75</v>
      </c>
      <c r="C7" s="14" t="s">
        <v>76</v>
      </c>
      <c r="D7" s="14" t="s">
        <v>69</v>
      </c>
      <c r="E7" s="15" t="s">
        <v>70</v>
      </c>
      <c r="F7" s="14" t="s">
        <v>17</v>
      </c>
      <c r="G7" s="4" t="s">
        <v>18</v>
      </c>
      <c r="H7" s="14"/>
      <c r="I7" s="14"/>
      <c r="J7" s="15"/>
      <c r="K7" s="14"/>
    </row>
    <row r="8" spans="1:11" ht="18" customHeight="1" x14ac:dyDescent="0.2">
      <c r="A8" s="2">
        <v>27</v>
      </c>
      <c r="B8" s="3" t="s">
        <v>77</v>
      </c>
      <c r="C8" s="2" t="s">
        <v>78</v>
      </c>
      <c r="D8" s="2" t="s">
        <v>69</v>
      </c>
      <c r="E8" s="3" t="s">
        <v>70</v>
      </c>
      <c r="F8" s="2" t="s">
        <v>17</v>
      </c>
      <c r="G8" s="4" t="s">
        <v>18</v>
      </c>
      <c r="H8" s="2"/>
      <c r="I8" s="2"/>
      <c r="J8" s="3"/>
      <c r="K8" s="2"/>
    </row>
    <row r="9" spans="1:11" ht="18" customHeight="1" x14ac:dyDescent="0.2">
      <c r="A9" s="14">
        <v>28</v>
      </c>
      <c r="B9" s="15" t="s">
        <v>79</v>
      </c>
      <c r="C9" s="14" t="s">
        <v>80</v>
      </c>
      <c r="D9" s="14" t="s">
        <v>69</v>
      </c>
      <c r="E9" s="15" t="s">
        <v>70</v>
      </c>
      <c r="F9" s="14" t="s">
        <v>21</v>
      </c>
      <c r="G9" s="4" t="s">
        <v>18</v>
      </c>
      <c r="H9" s="14"/>
      <c r="I9" s="14"/>
      <c r="J9" s="15"/>
      <c r="K9" s="14"/>
    </row>
    <row r="10" spans="1:11" ht="18" customHeight="1" x14ac:dyDescent="0.2">
      <c r="A10" s="2">
        <v>29</v>
      </c>
      <c r="B10" s="3" t="s">
        <v>81</v>
      </c>
      <c r="C10" s="2" t="s">
        <v>82</v>
      </c>
      <c r="D10" s="2" t="s">
        <v>69</v>
      </c>
      <c r="E10" s="3" t="s">
        <v>70</v>
      </c>
      <c r="F10" s="2" t="s">
        <v>21</v>
      </c>
      <c r="G10" s="7" t="s">
        <v>24</v>
      </c>
      <c r="H10" s="2"/>
      <c r="I10" s="2"/>
      <c r="J10" s="3"/>
      <c r="K10" s="2"/>
    </row>
    <row r="11" spans="1:11" ht="18" customHeight="1" x14ac:dyDescent="0.2">
      <c r="A11" s="14">
        <v>30</v>
      </c>
      <c r="B11" s="15" t="s">
        <v>83</v>
      </c>
      <c r="C11" s="14" t="s">
        <v>84</v>
      </c>
      <c r="D11" s="14" t="s">
        <v>69</v>
      </c>
      <c r="E11" s="15" t="s">
        <v>70</v>
      </c>
      <c r="F11" s="14" t="s">
        <v>21</v>
      </c>
      <c r="G11" s="4" t="s">
        <v>18</v>
      </c>
      <c r="H11" s="14"/>
      <c r="I11" s="14"/>
      <c r="J11" s="15"/>
      <c r="K11" s="14"/>
    </row>
    <row r="12" spans="1:11" ht="18" customHeight="1" x14ac:dyDescent="0.2">
      <c r="A12" s="2">
        <v>31</v>
      </c>
      <c r="B12" s="3" t="s">
        <v>85</v>
      </c>
      <c r="C12" s="2" t="s">
        <v>86</v>
      </c>
      <c r="D12" s="2" t="s">
        <v>69</v>
      </c>
      <c r="E12" s="3" t="s">
        <v>70</v>
      </c>
      <c r="F12" s="2" t="s">
        <v>54</v>
      </c>
      <c r="G12" s="4" t="s">
        <v>18</v>
      </c>
      <c r="H12" s="2"/>
      <c r="I12" s="2"/>
      <c r="J12" s="3"/>
      <c r="K12" s="2"/>
    </row>
    <row r="13" spans="1:11" ht="28" x14ac:dyDescent="0.2">
      <c r="A13" s="14">
        <v>32</v>
      </c>
      <c r="B13" s="15" t="s">
        <v>87</v>
      </c>
      <c r="C13" s="14" t="s">
        <v>88</v>
      </c>
      <c r="D13" s="14" t="s">
        <v>69</v>
      </c>
      <c r="E13" s="15" t="s">
        <v>89</v>
      </c>
      <c r="F13" s="14" t="s">
        <v>21</v>
      </c>
      <c r="G13" s="4" t="s">
        <v>18</v>
      </c>
      <c r="H13" s="14"/>
      <c r="I13" s="14"/>
      <c r="J13" s="15"/>
      <c r="K13" s="14"/>
    </row>
    <row r="14" spans="1:11" ht="28" x14ac:dyDescent="0.2">
      <c r="A14" s="2">
        <v>33</v>
      </c>
      <c r="B14" s="3" t="s">
        <v>90</v>
      </c>
      <c r="C14" s="2" t="s">
        <v>91</v>
      </c>
      <c r="D14" s="2" t="s">
        <v>69</v>
      </c>
      <c r="E14" s="3" t="s">
        <v>89</v>
      </c>
      <c r="F14" s="2" t="s">
        <v>54</v>
      </c>
      <c r="G14" s="4" t="s">
        <v>18</v>
      </c>
      <c r="H14" s="2"/>
      <c r="I14" s="2"/>
      <c r="J14" s="3"/>
      <c r="K14" s="2"/>
    </row>
    <row r="15" spans="1:11" ht="18" customHeight="1" x14ac:dyDescent="0.2">
      <c r="A15" s="14">
        <v>34</v>
      </c>
      <c r="B15" s="15" t="s">
        <v>92</v>
      </c>
      <c r="C15" s="14" t="s">
        <v>93</v>
      </c>
      <c r="D15" s="14" t="s">
        <v>69</v>
      </c>
      <c r="E15" s="15" t="s">
        <v>94</v>
      </c>
      <c r="F15" s="14" t="s">
        <v>17</v>
      </c>
      <c r="G15" s="4" t="s">
        <v>18</v>
      </c>
      <c r="H15" s="14"/>
      <c r="I15" s="14"/>
      <c r="J15" s="15"/>
      <c r="K15" s="14"/>
    </row>
    <row r="16" spans="1:11" ht="18" customHeight="1" x14ac:dyDescent="0.2">
      <c r="A16" s="2">
        <v>35</v>
      </c>
      <c r="B16" s="3" t="s">
        <v>95</v>
      </c>
      <c r="C16" s="2" t="s">
        <v>96</v>
      </c>
      <c r="D16" s="2" t="s">
        <v>69</v>
      </c>
      <c r="E16" s="3" t="s">
        <v>97</v>
      </c>
      <c r="F16" s="2" t="s">
        <v>21</v>
      </c>
      <c r="G16" s="4" t="s">
        <v>18</v>
      </c>
      <c r="H16" s="2"/>
      <c r="I16" s="2"/>
      <c r="J16" s="3"/>
      <c r="K16" s="2"/>
    </row>
    <row r="17" spans="1:11" ht="18" customHeight="1" x14ac:dyDescent="0.2">
      <c r="A17" s="14">
        <v>36</v>
      </c>
      <c r="B17" s="15" t="s">
        <v>98</v>
      </c>
      <c r="C17" s="14" t="s">
        <v>99</v>
      </c>
      <c r="D17" s="14" t="s">
        <v>69</v>
      </c>
      <c r="E17" s="15" t="s">
        <v>97</v>
      </c>
      <c r="F17" s="14" t="s">
        <v>17</v>
      </c>
      <c r="G17" s="4" t="s">
        <v>18</v>
      </c>
      <c r="H17" s="14"/>
      <c r="I17" s="14"/>
      <c r="J17" s="15"/>
      <c r="K17" s="14"/>
    </row>
    <row r="18" spans="1:11" ht="18" customHeight="1" x14ac:dyDescent="0.2">
      <c r="A18" s="2">
        <v>37</v>
      </c>
      <c r="B18" s="3" t="s">
        <v>100</v>
      </c>
      <c r="C18" s="2" t="s">
        <v>101</v>
      </c>
      <c r="D18" s="2" t="s">
        <v>69</v>
      </c>
      <c r="E18" s="3" t="s">
        <v>94</v>
      </c>
      <c r="F18" s="2" t="s">
        <v>21</v>
      </c>
      <c r="G18" s="7" t="s">
        <v>24</v>
      </c>
      <c r="H18" s="2"/>
      <c r="I18" s="2"/>
      <c r="J18" s="3"/>
      <c r="K18" s="2"/>
    </row>
    <row r="19" spans="1:11" ht="18" customHeight="1" x14ac:dyDescent="0.2">
      <c r="A19" s="14">
        <v>38</v>
      </c>
      <c r="B19" s="15" t="s">
        <v>102</v>
      </c>
      <c r="C19" s="14" t="s">
        <v>103</v>
      </c>
      <c r="D19" s="14" t="s">
        <v>69</v>
      </c>
      <c r="E19" s="15" t="s">
        <v>94</v>
      </c>
      <c r="F19" s="14" t="s">
        <v>54</v>
      </c>
      <c r="G19" s="7" t="s">
        <v>24</v>
      </c>
      <c r="H19" s="14"/>
      <c r="I19" s="14"/>
      <c r="J19" s="15"/>
      <c r="K19" s="14"/>
    </row>
    <row r="20" spans="1:11" ht="18" customHeight="1" x14ac:dyDescent="0.2">
      <c r="A20" s="2">
        <v>39</v>
      </c>
      <c r="B20" s="3" t="s">
        <v>104</v>
      </c>
      <c r="C20" s="2" t="s">
        <v>105</v>
      </c>
      <c r="D20" s="2" t="s">
        <v>69</v>
      </c>
      <c r="E20" s="3" t="s">
        <v>94</v>
      </c>
      <c r="F20" s="2" t="s">
        <v>54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14">
        <v>40</v>
      </c>
      <c r="B21" s="15" t="s">
        <v>106</v>
      </c>
      <c r="C21" s="14" t="s">
        <v>107</v>
      </c>
      <c r="D21" s="14" t="s">
        <v>69</v>
      </c>
      <c r="E21" s="15" t="s">
        <v>108</v>
      </c>
      <c r="F21" s="14" t="s">
        <v>54</v>
      </c>
      <c r="G21" s="4" t="s">
        <v>18</v>
      </c>
      <c r="H21" s="14"/>
      <c r="I21" s="14"/>
      <c r="J21" s="15"/>
      <c r="K21" s="14"/>
    </row>
    <row r="22" spans="1:11" ht="18" customHeight="1" x14ac:dyDescent="0.2">
      <c r="A22" s="2">
        <v>41</v>
      </c>
      <c r="B22" s="3" t="s">
        <v>109</v>
      </c>
      <c r="C22" s="2" t="s">
        <v>110</v>
      </c>
      <c r="D22" s="2" t="s">
        <v>69</v>
      </c>
      <c r="E22" s="3" t="s">
        <v>111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14">
        <v>42</v>
      </c>
      <c r="B23" s="15" t="s">
        <v>112</v>
      </c>
      <c r="C23" s="14" t="s">
        <v>113</v>
      </c>
      <c r="D23" s="14" t="s">
        <v>69</v>
      </c>
      <c r="E23" s="15" t="s">
        <v>111</v>
      </c>
      <c r="F23" s="14" t="s">
        <v>21</v>
      </c>
      <c r="G23" s="7" t="s">
        <v>24</v>
      </c>
      <c r="H23" s="14"/>
      <c r="I23" s="14"/>
      <c r="J23" s="15"/>
      <c r="K23" s="14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="160" zoomScaleNormal="160" workbookViewId="0">
      <pane ySplit="3" topLeftCell="A6" activePane="bottomLeft" state="frozen"/>
      <selection pane="bottomLeft" sqref="A1:K1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27" t="s">
        <v>177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8" customHeight="1" x14ac:dyDescent="0.2">
      <c r="A2" s="28" t="s">
        <v>178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21.75" customHeight="1" x14ac:dyDescent="0.2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12</v>
      </c>
    </row>
    <row r="4" spans="1:11" ht="28" x14ac:dyDescent="0.2">
      <c r="A4" s="2">
        <v>43</v>
      </c>
      <c r="B4" s="3" t="s">
        <v>114</v>
      </c>
      <c r="C4" s="2" t="s">
        <v>115</v>
      </c>
      <c r="D4" s="2" t="s">
        <v>116</v>
      </c>
      <c r="E4" s="3" t="s">
        <v>117</v>
      </c>
      <c r="F4" s="2" t="s">
        <v>54</v>
      </c>
      <c r="G4" s="4" t="s">
        <v>18</v>
      </c>
      <c r="H4" s="2"/>
      <c r="I4" s="2"/>
      <c r="J4" s="3"/>
      <c r="K4" s="2"/>
    </row>
    <row r="5" spans="1:11" ht="28" x14ac:dyDescent="0.2">
      <c r="A5" s="17">
        <v>44</v>
      </c>
      <c r="B5" s="18" t="s">
        <v>118</v>
      </c>
      <c r="C5" s="17" t="s">
        <v>119</v>
      </c>
      <c r="D5" s="17" t="s">
        <v>116</v>
      </c>
      <c r="E5" s="18" t="s">
        <v>117</v>
      </c>
      <c r="F5" s="17" t="s">
        <v>21</v>
      </c>
      <c r="G5" s="4" t="s">
        <v>18</v>
      </c>
      <c r="H5" s="17"/>
      <c r="I5" s="17"/>
      <c r="J5" s="18"/>
      <c r="K5" s="17"/>
    </row>
    <row r="6" spans="1:11" ht="28" x14ac:dyDescent="0.2">
      <c r="A6" s="2">
        <v>45</v>
      </c>
      <c r="B6" s="3" t="s">
        <v>120</v>
      </c>
      <c r="C6" s="2" t="s">
        <v>121</v>
      </c>
      <c r="D6" s="2" t="s">
        <v>116</v>
      </c>
      <c r="E6" s="3" t="s">
        <v>117</v>
      </c>
      <c r="F6" s="2" t="s">
        <v>17</v>
      </c>
      <c r="G6" s="4" t="s">
        <v>18</v>
      </c>
      <c r="H6" s="2"/>
      <c r="I6" s="2"/>
      <c r="J6" s="3"/>
      <c r="K6" s="2"/>
    </row>
    <row r="7" spans="1:11" ht="28" x14ac:dyDescent="0.2">
      <c r="A7" s="17">
        <v>46</v>
      </c>
      <c r="B7" s="18" t="s">
        <v>122</v>
      </c>
      <c r="C7" s="17" t="s">
        <v>123</v>
      </c>
      <c r="D7" s="17" t="s">
        <v>116</v>
      </c>
      <c r="E7" s="18" t="s">
        <v>117</v>
      </c>
      <c r="F7" s="17" t="s">
        <v>21</v>
      </c>
      <c r="G7" s="4" t="s">
        <v>18</v>
      </c>
      <c r="H7" s="17"/>
      <c r="I7" s="17"/>
      <c r="J7" s="18"/>
      <c r="K7" s="17"/>
    </row>
    <row r="8" spans="1:11" ht="28" x14ac:dyDescent="0.2">
      <c r="A8" s="2">
        <v>47</v>
      </c>
      <c r="B8" s="3" t="s">
        <v>124</v>
      </c>
      <c r="C8" s="2" t="s">
        <v>125</v>
      </c>
      <c r="D8" s="2" t="s">
        <v>116</v>
      </c>
      <c r="E8" s="3" t="s">
        <v>117</v>
      </c>
      <c r="F8" s="2" t="s">
        <v>21</v>
      </c>
      <c r="G8" s="4" t="s">
        <v>18</v>
      </c>
      <c r="H8" s="2"/>
      <c r="I8" s="2"/>
      <c r="J8" s="3"/>
      <c r="K8" s="2"/>
    </row>
    <row r="9" spans="1:11" ht="18" customHeight="1" x14ac:dyDescent="0.2">
      <c r="A9" s="17">
        <v>48</v>
      </c>
      <c r="B9" s="18" t="s">
        <v>126</v>
      </c>
      <c r="C9" s="17" t="s">
        <v>127</v>
      </c>
      <c r="D9" s="17" t="s">
        <v>116</v>
      </c>
      <c r="E9" s="18" t="s">
        <v>117</v>
      </c>
      <c r="F9" s="17" t="s">
        <v>17</v>
      </c>
      <c r="G9" s="4" t="s">
        <v>18</v>
      </c>
      <c r="H9" s="17"/>
      <c r="I9" s="17"/>
      <c r="J9" s="18"/>
      <c r="K9" s="17"/>
    </row>
    <row r="10" spans="1:11" ht="28" x14ac:dyDescent="0.2">
      <c r="A10" s="2">
        <v>49</v>
      </c>
      <c r="B10" s="3" t="s">
        <v>128</v>
      </c>
      <c r="C10" s="2" t="s">
        <v>129</v>
      </c>
      <c r="D10" s="2" t="s">
        <v>116</v>
      </c>
      <c r="E10" s="3" t="s">
        <v>117</v>
      </c>
      <c r="F10" s="2" t="s">
        <v>17</v>
      </c>
      <c r="G10" s="4" t="s">
        <v>18</v>
      </c>
      <c r="H10" s="2"/>
      <c r="I10" s="2"/>
      <c r="J10" s="3"/>
      <c r="K10" s="2"/>
    </row>
    <row r="11" spans="1:11" ht="18" customHeight="1" x14ac:dyDescent="0.2">
      <c r="A11" s="17">
        <v>50</v>
      </c>
      <c r="B11" s="18" t="s">
        <v>130</v>
      </c>
      <c r="C11" s="17" t="s">
        <v>131</v>
      </c>
      <c r="D11" s="17" t="s">
        <v>116</v>
      </c>
      <c r="E11" s="18" t="s">
        <v>117</v>
      </c>
      <c r="F11" s="17" t="s">
        <v>17</v>
      </c>
      <c r="G11" s="4" t="s">
        <v>18</v>
      </c>
      <c r="H11" s="17"/>
      <c r="I11" s="17"/>
      <c r="J11" s="18"/>
      <c r="K11" s="17"/>
    </row>
    <row r="12" spans="1:11" ht="18" customHeight="1" x14ac:dyDescent="0.2">
      <c r="A12" s="2">
        <v>51</v>
      </c>
      <c r="B12" s="3" t="s">
        <v>132</v>
      </c>
      <c r="C12" s="2" t="s">
        <v>133</v>
      </c>
      <c r="D12" s="2" t="s">
        <v>116</v>
      </c>
      <c r="E12" s="3" t="s">
        <v>117</v>
      </c>
      <c r="F12" s="2" t="s">
        <v>21</v>
      </c>
      <c r="G12" s="7" t="s">
        <v>24</v>
      </c>
      <c r="H12" s="2"/>
      <c r="I12" s="2"/>
      <c r="J12" s="3"/>
      <c r="K12" s="2"/>
    </row>
    <row r="13" spans="1:11" ht="18" customHeight="1" x14ac:dyDescent="0.2">
      <c r="A13" s="17">
        <v>52</v>
      </c>
      <c r="B13" s="18" t="s">
        <v>134</v>
      </c>
      <c r="C13" s="17" t="s">
        <v>135</v>
      </c>
      <c r="D13" s="17" t="s">
        <v>116</v>
      </c>
      <c r="E13" s="18" t="s">
        <v>117</v>
      </c>
      <c r="F13" s="17" t="s">
        <v>21</v>
      </c>
      <c r="G13" s="4" t="s">
        <v>18</v>
      </c>
      <c r="H13" s="17"/>
      <c r="I13" s="17"/>
      <c r="J13" s="18"/>
      <c r="K13" s="17"/>
    </row>
    <row r="14" spans="1:11" ht="18" customHeight="1" x14ac:dyDescent="0.2">
      <c r="A14" s="2">
        <v>53</v>
      </c>
      <c r="B14" s="3" t="s">
        <v>136</v>
      </c>
      <c r="C14" s="2" t="s">
        <v>137</v>
      </c>
      <c r="D14" s="2" t="s">
        <v>116</v>
      </c>
      <c r="E14" s="3" t="s">
        <v>117</v>
      </c>
      <c r="F14" s="2" t="s">
        <v>17</v>
      </c>
      <c r="G14" s="4" t="s">
        <v>18</v>
      </c>
      <c r="H14" s="2"/>
      <c r="I14" s="2"/>
      <c r="J14" s="3"/>
      <c r="K14" s="2"/>
    </row>
    <row r="15" spans="1:11" ht="28" x14ac:dyDescent="0.2">
      <c r="A15" s="17">
        <v>54</v>
      </c>
      <c r="B15" s="18" t="s">
        <v>138</v>
      </c>
      <c r="C15" s="17" t="s">
        <v>139</v>
      </c>
      <c r="D15" s="17" t="s">
        <v>116</v>
      </c>
      <c r="E15" s="18" t="s">
        <v>140</v>
      </c>
      <c r="F15" s="17" t="s">
        <v>21</v>
      </c>
      <c r="G15" s="4" t="s">
        <v>18</v>
      </c>
      <c r="H15" s="17"/>
      <c r="I15" s="17"/>
      <c r="J15" s="18"/>
      <c r="K15" s="17"/>
    </row>
    <row r="16" spans="1:11" ht="18" customHeight="1" x14ac:dyDescent="0.2">
      <c r="A16" s="2">
        <v>55</v>
      </c>
      <c r="B16" s="3" t="s">
        <v>141</v>
      </c>
      <c r="C16" s="2" t="s">
        <v>142</v>
      </c>
      <c r="D16" s="2" t="s">
        <v>116</v>
      </c>
      <c r="E16" s="3" t="s">
        <v>143</v>
      </c>
      <c r="F16" s="2" t="s">
        <v>54</v>
      </c>
      <c r="G16" s="4" t="s">
        <v>18</v>
      </c>
      <c r="H16" s="2"/>
      <c r="I16" s="2"/>
      <c r="J16" s="3"/>
      <c r="K16" s="2"/>
    </row>
    <row r="17" spans="1:11" ht="28" x14ac:dyDescent="0.2">
      <c r="A17" s="17">
        <v>56</v>
      </c>
      <c r="B17" s="18" t="s">
        <v>144</v>
      </c>
      <c r="C17" s="17" t="s">
        <v>145</v>
      </c>
      <c r="D17" s="17" t="s">
        <v>116</v>
      </c>
      <c r="E17" s="18" t="s">
        <v>146</v>
      </c>
      <c r="F17" s="17" t="s">
        <v>21</v>
      </c>
      <c r="G17" s="4" t="s">
        <v>18</v>
      </c>
      <c r="H17" s="17"/>
      <c r="I17" s="17"/>
      <c r="J17" s="18"/>
      <c r="K17" s="17"/>
    </row>
    <row r="18" spans="1:11" ht="18" customHeight="1" x14ac:dyDescent="0.2">
      <c r="A18" s="2">
        <v>57</v>
      </c>
      <c r="B18" s="3" t="s">
        <v>147</v>
      </c>
      <c r="C18" s="2" t="s">
        <v>148</v>
      </c>
      <c r="D18" s="2" t="s">
        <v>116</v>
      </c>
      <c r="E18" s="3" t="s">
        <v>146</v>
      </c>
      <c r="F18" s="2" t="s">
        <v>17</v>
      </c>
      <c r="G18" s="4" t="s">
        <v>18</v>
      </c>
      <c r="H18" s="2"/>
      <c r="I18" s="2"/>
      <c r="J18" s="3"/>
      <c r="K18" s="2"/>
    </row>
    <row r="19" spans="1:11" ht="18" customHeight="1" x14ac:dyDescent="0.2">
      <c r="A19" s="17">
        <v>58</v>
      </c>
      <c r="B19" s="18" t="s">
        <v>149</v>
      </c>
      <c r="C19" s="17" t="s">
        <v>150</v>
      </c>
      <c r="D19" s="17" t="s">
        <v>116</v>
      </c>
      <c r="E19" s="18" t="s">
        <v>143</v>
      </c>
      <c r="F19" s="17" t="s">
        <v>54</v>
      </c>
      <c r="G19" s="4" t="s">
        <v>18</v>
      </c>
      <c r="H19" s="17"/>
      <c r="I19" s="17"/>
      <c r="J19" s="18"/>
      <c r="K19" s="17"/>
    </row>
    <row r="20" spans="1:11" ht="18" customHeight="1" x14ac:dyDescent="0.2">
      <c r="A20" s="2">
        <v>59</v>
      </c>
      <c r="B20" s="3" t="s">
        <v>151</v>
      </c>
      <c r="C20" s="2" t="s">
        <v>152</v>
      </c>
      <c r="D20" s="2" t="s">
        <v>116</v>
      </c>
      <c r="E20" s="3" t="s">
        <v>143</v>
      </c>
      <c r="F20" s="2" t="s">
        <v>21</v>
      </c>
      <c r="G20" s="7" t="s">
        <v>24</v>
      </c>
      <c r="H20" s="2"/>
      <c r="I20" s="2"/>
      <c r="J20" s="3"/>
      <c r="K20" s="2"/>
    </row>
    <row r="21" spans="1:11" ht="18" customHeight="1" x14ac:dyDescent="0.2">
      <c r="A21" s="17">
        <v>60</v>
      </c>
      <c r="B21" s="18" t="s">
        <v>153</v>
      </c>
      <c r="C21" s="17" t="s">
        <v>154</v>
      </c>
      <c r="D21" s="17" t="s">
        <v>116</v>
      </c>
      <c r="E21" s="18" t="s">
        <v>146</v>
      </c>
      <c r="F21" s="17" t="s">
        <v>54</v>
      </c>
      <c r="G21" s="4" t="s">
        <v>18</v>
      </c>
      <c r="H21" s="17"/>
      <c r="I21" s="17"/>
      <c r="J21" s="18"/>
      <c r="K21" s="17"/>
    </row>
    <row r="22" spans="1:11" ht="18" customHeight="1" x14ac:dyDescent="0.2">
      <c r="A22" s="2">
        <v>61</v>
      </c>
      <c r="B22" s="3" t="s">
        <v>155</v>
      </c>
      <c r="C22" s="2" t="s">
        <v>156</v>
      </c>
      <c r="D22" s="2" t="s">
        <v>116</v>
      </c>
      <c r="E22" s="3" t="s">
        <v>143</v>
      </c>
      <c r="F22" s="2" t="s">
        <v>54</v>
      </c>
      <c r="G22" s="7" t="s">
        <v>24</v>
      </c>
      <c r="H22" s="2"/>
      <c r="I22" s="2"/>
      <c r="J22" s="3"/>
      <c r="K22" s="2"/>
    </row>
    <row r="23" spans="1:11" ht="18" customHeight="1" x14ac:dyDescent="0.2">
      <c r="A23" s="17">
        <v>62</v>
      </c>
      <c r="B23" s="18" t="s">
        <v>157</v>
      </c>
      <c r="C23" s="17" t="s">
        <v>158</v>
      </c>
      <c r="D23" s="17" t="s">
        <v>116</v>
      </c>
      <c r="E23" s="18" t="s">
        <v>159</v>
      </c>
      <c r="F23" s="17" t="s">
        <v>17</v>
      </c>
      <c r="G23" s="4" t="s">
        <v>18</v>
      </c>
      <c r="H23" s="17"/>
      <c r="I23" s="17"/>
      <c r="J23" s="18"/>
      <c r="K23" s="17"/>
    </row>
    <row r="24" spans="1:11" ht="18" customHeight="1" x14ac:dyDescent="0.2">
      <c r="A24" s="2">
        <v>63</v>
      </c>
      <c r="B24" s="3" t="s">
        <v>160</v>
      </c>
      <c r="C24" s="2" t="s">
        <v>161</v>
      </c>
      <c r="D24" s="2" t="s">
        <v>116</v>
      </c>
      <c r="E24" s="3" t="s">
        <v>159</v>
      </c>
      <c r="F24" s="2" t="s">
        <v>54</v>
      </c>
      <c r="G24" s="4" t="s">
        <v>18</v>
      </c>
      <c r="H24" s="2"/>
      <c r="I24" s="2"/>
      <c r="J24" s="3"/>
      <c r="K24" s="2"/>
    </row>
    <row r="25" spans="1:11" ht="18" customHeight="1" x14ac:dyDescent="0.2">
      <c r="A25" s="17">
        <v>64</v>
      </c>
      <c r="B25" s="18" t="s">
        <v>162</v>
      </c>
      <c r="C25" s="17" t="s">
        <v>163</v>
      </c>
      <c r="D25" s="17" t="s">
        <v>116</v>
      </c>
      <c r="E25" s="18" t="s">
        <v>159</v>
      </c>
      <c r="F25" s="17" t="s">
        <v>54</v>
      </c>
      <c r="G25" s="4" t="s">
        <v>18</v>
      </c>
      <c r="H25" s="17"/>
      <c r="I25" s="17"/>
      <c r="J25" s="18"/>
      <c r="K25" s="17"/>
    </row>
    <row r="26" spans="1:11" ht="18" customHeight="1" x14ac:dyDescent="0.2">
      <c r="A26" s="2">
        <v>65</v>
      </c>
      <c r="B26" s="3" t="s">
        <v>164</v>
      </c>
      <c r="C26" s="2" t="s">
        <v>165</v>
      </c>
      <c r="D26" s="2" t="s">
        <v>116</v>
      </c>
      <c r="E26" s="3" t="s">
        <v>159</v>
      </c>
      <c r="F26" s="2" t="s">
        <v>54</v>
      </c>
      <c r="G26" s="7" t="s">
        <v>24</v>
      </c>
      <c r="H26" s="2"/>
      <c r="I26" s="2"/>
      <c r="J26" s="3"/>
      <c r="K26" s="2"/>
    </row>
    <row r="27" spans="1:11" ht="18" customHeight="1" x14ac:dyDescent="0.2">
      <c r="A27" s="17">
        <v>66</v>
      </c>
      <c r="B27" s="18" t="s">
        <v>166</v>
      </c>
      <c r="C27" s="17" t="s">
        <v>167</v>
      </c>
      <c r="D27" s="17" t="s">
        <v>116</v>
      </c>
      <c r="E27" s="18" t="s">
        <v>159</v>
      </c>
      <c r="F27" s="17" t="s">
        <v>17</v>
      </c>
      <c r="G27" s="4" t="s">
        <v>18</v>
      </c>
      <c r="H27" s="17"/>
      <c r="I27" s="17"/>
      <c r="J27" s="18"/>
      <c r="K27" s="17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Call Sheet</vt:lpstr>
      <vt:lpstr>Healthcare</vt:lpstr>
      <vt:lpstr>Law Firms</vt:lpstr>
      <vt:lpstr>Construction &amp; Contracting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Dagoberto Farias</cp:lastModifiedBy>
  <cp:revision>0</cp:revision>
  <dcterms:created xsi:type="dcterms:W3CDTF">2026-03-12T21:35:57Z</dcterms:created>
  <dcterms:modified xsi:type="dcterms:W3CDTF">2026-03-17T15:39:16Z</dcterms:modified>
  <dc:language>en-US</dc:language>
</cp:coreProperties>
</file>